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a8ec5bbcf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dora CTS" sheetId="1" r:id="Rff5d7a3039ac46c7"/>
    <x:sheet xmlns:r="http://schemas.openxmlformats.org/officeDocument/2006/relationships" name="Guía y normas" sheetId="2" r:id="R387357a4fd5a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S/ &quot;#,##0.00;(&quot;S/ &quot;#,##0.00);&quot;S/ &quot;-"/>
    <x:numFmt numFmtId="201" formatCode="0"/>
  </x:numFmts>
  <x:fonts count="13">
    <x:font>
      <x:sz val="11"/>
      <x:name val="Carlito"/>
    </x:font>
    <x:font>
      <x:sz val="11"/>
      <x:color rgb="FF15324F"/>
      <x:name val="Arial"/>
    </x:font>
    <x:font>
      <x:b/>
      <x:sz val="15"/>
      <x:color rgb="FF15324F"/>
      <x:name val="Arial"/>
    </x:font>
    <x:font>
      <x:i/>
      <x:sz val="10"/>
      <x:color rgb="FF56677A"/>
      <x:name val="Arial"/>
    </x:font>
    <x:font>
      <x:b/>
      <x:sz val="11"/>
      <x:color rgb="FFFFFFFF"/>
      <x:name val="Arial"/>
    </x:font>
    <x:font>
      <x:b/>
      <x:sz val="11"/>
      <x:color rgb="FF1E5EA8"/>
      <x:name val="Arial"/>
    </x:font>
    <x:font>
      <x:sz val="10"/>
      <x:color rgb="FF56677A"/>
      <x:name val="Arial"/>
    </x:font>
    <x:font>
      <x:b/>
      <x:sz val="11"/>
      <x:color rgb="FF15324F"/>
      <x:name val="Arial"/>
    </x:font>
    <x:font>
      <x:b/>
      <x:sz val="12"/>
      <x:color rgb="FF15324F"/>
      <x:name val="Arial"/>
    </x:font>
    <x:font>
      <x:b/>
      <x:sz val="10"/>
      <x:color rgb="FFFFFFFF"/>
      <x:name val="Arial"/>
    </x:font>
    <x:font>
      <x:sz val="10"/>
      <x:color rgb="FF293A4B"/>
      <x:name val="Arial"/>
    </x:font>
    <x:font>
      <x:b/>
      <x:sz val="10"/>
      <x:color rgb="FF293A4B"/>
      <x:name val="Arial"/>
    </x:font>
    <x:font>
      <x:sz val="9"/>
      <x:color rgb="FF1E5EA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FFF2CD"/>
      </x:patternFill>
    </x:fill>
    <x:fill>
      <x:patternFill patternType="solid">
        <x:fgColor rgb="FFEAF3FC"/>
      </x:patternFill>
    </x:fill>
    <x:fill>
      <x:patternFill patternType="solid">
        <x:fgColor rgb="FF1E5EA8"/>
      </x:patternFill>
    </x:fill>
    <x:fill>
      <x:patternFill patternType="solid">
        <x:fgColor rgb="FFF4F7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E5EA8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78b768118451b" /><Relationship Type="http://schemas.openxmlformats.org/officeDocument/2006/relationships/theme" Target="/xl/theme/theme1.xml" Id="R12274330c3b14344" /><Relationship Type="http://schemas.openxmlformats.org/officeDocument/2006/relationships/sharedStrings" Target="/xl/sharedStrings.xml" Id="R5796221e10084cf8" /><Relationship Type="http://schemas.openxmlformats.org/officeDocument/2006/relationships/worksheet" Target="/xl/worksheets/sheet1.xml" Id="Rff5d7a3039ac46c7" /><Relationship Type="http://schemas.openxmlformats.org/officeDocument/2006/relationships/worksheet" Target="/xl/worksheets/sheet2.xml" Id="R387357a4fd5a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324F"/>
  </x:sheetPr>
  <x:sheetViews>
    <x:sheetView showGridLines="0" workbookViewId="0"/>
  </x:sheetViews>
  <x:sheetFormatPr defaultRowHeight="15"/>
  <x:cols>
    <x:col min="1" max="1" width="47" hidden="0" customWidth="1"/>
    <x:col min="2" max="2" width="21" hidden="0" customWidth="1"/>
    <x:col min="3" max="3" width="23" hidden="0" customWidth="1"/>
    <x:col min="4" max="4" width="22" hidden="0" customWidth="1"/>
    <x:col min="5" max="5" width="3" hidden="0" customWidth="1"/>
    <x:col min="6" max="6" width="30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CTS y vacaciones: cálculo explicado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2"/>
      <x:c r="F3" s="2"/>
    </x:row>
    <x:row r="4">
      <x:c r="A4" s="5" t="str">
        <x:v>Régimen laboral privado general · ejemplo editable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7" t="str">
        <x:v>Datos editables</x:v>
      </x:c>
      <x:c r="B6" s="7"/>
      <x:c r="C6" s="7"/>
      <x:c r="D6" s="7"/>
      <x:c r="E6" s="2"/>
      <x:c r="F6" s="2"/>
    </x:row>
    <x:row r="7">
      <x:c r="A7" s="2" t="str">
        <x:v>Sueldo mensual computable (S/)</x:v>
      </x:c>
      <x:c r="B7" s="10" t="n">
        <x:v>3000</x:v>
      </x:c>
      <x:c r="C7" s="5" t="str">
        <x:v>Amarillo = cambiar dato</x:v>
      </x:c>
      <x:c r="D7" s="2"/>
      <x:c r="E7" s="2"/>
      <x:c r="F7" s="2"/>
    </x:row>
    <x:row r="8">
      <x:c r="A8" s="2" t="str">
        <x:v>Gratificación recibida en el semestre (S/)</x:v>
      </x:c>
      <x:c r="B8" s="10" t="n">
        <x:v>3000</x:v>
      </x:c>
      <x:c r="C8" s="2"/>
      <x:c r="D8" s="2"/>
      <x:c r="E8" s="2"/>
      <x:c r="F8" s="2"/>
    </x:row>
    <x:row r="9">
      <x:c r="A9" s="2" t="str">
        <x:v>Meses completos computables (1 a 6)</x:v>
      </x:c>
      <x:c r="B9" s="11" t="n">
        <x:v>6</x:v>
      </x:c>
      <x:c r="C9" s="12" t="str">
        <x:v>Máximo 6 meses por semestre</x:v>
      </x:c>
      <x:c r="D9" s="2"/>
      <x:c r="E9" s="2"/>
      <x:c r="F9" s="2"/>
    </x:row>
    <x:row r="10">
      <x:c r="A10" s="2" t="str">
        <x:v>Días adicionales computables (0 a 29)</x:v>
      </x:c>
      <x:c r="B10" s="11" t="n">
        <x:v>0</x:v>
      </x:c>
      <x:c r="C10" s="12" t="str">
        <x:v>Vacaciones pagadas sí cuentan</x:v>
      </x:c>
      <x:c r="D10" s="2"/>
      <x:c r="E10" s="2"/>
      <x:c r="F10" s="2"/>
    </x:row>
    <x:row r="11">
      <x:c r="A11" s="2" t="str">
        <x:v>Días de vacaciones adquiridos (0 a 30)</x:v>
      </x:c>
      <x:c r="B11" s="11" t="n">
        <x:v>30</x:v>
      </x:c>
      <x:c r="C11" s="12" t="str">
        <x:v>Saldo de un periodo ya adquirido</x:v>
      </x:c>
      <x:c r="D11" s="2"/>
      <x:c r="E11" s="2"/>
      <x:c r="F11" s="2"/>
    </x:row>
    <x:row r="12">
      <x:c r="A12" s="2" t="str">
        <x:v>Días de vacaciones pagadas gozados (0 a 30)</x:v>
      </x:c>
      <x:c r="B12" s="11" t="n">
        <x:v>15</x:v>
      </x:c>
      <x:c r="C12" s="12" t="str">
        <x:v>Solo afecta saldo vacacional</x:v>
      </x:c>
      <x:c r="D12" s="2"/>
      <x:c r="E12" s="2"/>
      <x:c r="F12" s="2"/>
    </x:row>
    <x:row r="13">
      <x:c r="A13" s="2" t="str">
        <x:v>Estado de entradas</x:v>
      </x:c>
      <x:c r="B13" s="13" t="str">
        <x:f>IF(AND(ISNUMBER(B7),ISNUMBER(B8),ISNUMBER(B9),ISNUMBER(B10),ISNUMBER(B11),ISNUMBER(B12),B7&gt;=0,B8&gt;=0,B9&gt;=1,B9&lt;=6,B10&gt;=0,B10&lt;=29,B9*30+B10&lt;=180,B11&gt;=0,B11&lt;=30,B12&gt;=0,B12&lt;=B11),"OK","Revisar datos")</x:f>
        <x:v>OK</x:v>
      </x:c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7" t="str">
        <x:v>Cálculo paso a paso</x:v>
      </x:c>
      <x:c r="B15" s="7"/>
      <x:c r="C15" s="7"/>
      <x:c r="D15" s="7"/>
      <x:c r="E15" s="2"/>
      <x:c r="F15" s="2"/>
    </x:row>
    <x:row r="16">
      <x:c r="A16" s="2" t="str">
        <x:v>1. Sexta parte de la gratificación</x:v>
      </x:c>
      <x:c r="B16" s="14" t="n">
        <x:f>IF(B13="OK",B8/6,"")</x:f>
        <x:v>500</x:v>
      </x:c>
      <x:c r="C16" s="5" t="str">
        <x:v>Gratificación ÷ 6</x:v>
      </x:c>
      <x:c r="D16" s="2"/>
      <x:c r="E16" s="2"/>
      <x:c r="F16" s="2"/>
    </x:row>
    <x:row r="17">
      <x:c r="A17" s="2" t="str">
        <x:v>2. Remuneración computable = sueldo + 1/6</x:v>
      </x:c>
      <x:c r="B17" s="14" t="n">
        <x:f>IF(B13="OK",B7+B16,"")</x:f>
        <x:v>3500</x:v>
      </x:c>
      <x:c r="C17" s="5" t="str">
        <x:v>Sueldo + resultado anterior</x:v>
      </x:c>
      <x:c r="D17" s="2"/>
      <x:c r="E17" s="2"/>
      <x:c r="F17" s="2"/>
    </x:row>
    <x:row r="18">
      <x:c r="A18" s="2" t="str">
        <x:v>3. CTS por meses = base × meses / 12</x:v>
      </x:c>
      <x:c r="B18" s="14" t="n">
        <x:f>IF(B13="OK",B17*B9/12,"")</x:f>
        <x:v>1750</x:v>
      </x:c>
      <x:c r="C18" s="5" t="str">
        <x:v>Base × meses ÷ 12</x:v>
      </x:c>
      <x:c r="D18" s="2"/>
      <x:c r="E18" s="2"/>
      <x:c r="F18" s="2"/>
    </x:row>
    <x:row r="19">
      <x:c r="A19" s="2" t="str">
        <x:v>4. CTS por días = base × días / 360</x:v>
      </x:c>
      <x:c r="B19" s="14" t="n">
        <x:f>IF(B13="OK",B17*B10/360,"")</x:f>
        <x:v>0</x:v>
      </x:c>
      <x:c r="C19" s="5" t="str">
        <x:v>Base × días ÷ 360</x:v>
      </x:c>
      <x:c r="D19" s="2"/>
      <x:c r="E19" s="2"/>
      <x:c r="F19" s="2"/>
    </x:row>
    <x:row r="20">
      <x:c r="A20" s="17" t="str">
        <x:v>5. CTS estimada del semestre</x:v>
      </x:c>
      <x:c r="B20" s="18" t="n">
        <x:f>IF(B13="OK",ROUND(B18+B19,2),"")</x:f>
        <x:v>1750</x:v>
      </x:c>
      <x:c r="C20" s="15"/>
      <x:c r="D20" s="15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7" t="str">
        <x:v>Comparación que pide el laboratorio</x:v>
      </x:c>
      <x:c r="B23" s="7"/>
      <x:c r="C23" s="7"/>
      <x:c r="D23" s="7"/>
      <x:c r="E23" s="2"/>
      <x:c r="F23" s="2"/>
    </x:row>
    <x:row r="24">
      <x:c r="A24" s="21" t="str">
        <x:v>Escenario</x:v>
      </x:c>
      <x:c r="B24" s="21" t="str">
        <x:v>Vacaciones gozadas</x:v>
      </x:c>
      <x:c r="C24" s="21" t="str">
        <x:v>CTS (S/)</x:v>
      </x:c>
      <x:c r="D24" s="21" t="str">
        <x:v>Días pendientes</x:v>
      </x:c>
      <x:c r="E24" s="2"/>
      <x:c r="F24" s="2"/>
    </x:row>
    <x:row r="25">
      <x:c r="A25" s="2" t="str">
        <x:v>No salió de vacaciones</x:v>
      </x:c>
      <x:c r="B25" s="2" t="n">
        <x:v>0</x:v>
      </x:c>
      <x:c r="C25" s="14" t="n">
        <x:f>IF(B13="OK",$B$20,"")</x:f>
        <x:v>1750</x:v>
      </x:c>
      <x:c r="D25" s="2" t="n">
        <x:f>IF(B13="OK",$B$11,"")</x:f>
        <x:v>30</x:v>
      </x:c>
      <x:c r="E25" s="2"/>
      <x:c r="F25" s="2"/>
    </x:row>
    <x:row r="26">
      <x:c r="A26" s="22" t="str">
        <x:v>Sí salió de vacaciones pagadas</x:v>
      </x:c>
      <x:c r="B26" s="22" t="n">
        <x:f>IF(B13="OK",B12,"")</x:f>
        <x:v>15</x:v>
      </x:c>
      <x:c r="C26" s="23" t="n">
        <x:f>IF(B13="OK",$B$20,"")</x:f>
        <x:v>1750</x:v>
      </x:c>
      <x:c r="D26" s="22" t="n">
        <x:f>IF(B13="OK",$B$11-B26,"")</x:f>
        <x:v>15</x:v>
      </x:c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13" t="str">
        <x:v>Conclusión para explicar:</x:v>
      </x:c>
      <x:c r="B28" s="2"/>
      <x:c r="C28" s="2"/>
      <x:c r="D28" s="2"/>
      <x:c r="E28" s="2"/>
      <x:c r="F28" s="2"/>
    </x:row>
    <x:row r="29">
      <x:c r="A29" s="12" t="str">
        <x:v>Las vacaciones pagadas son tiempo computable; por eso la CTS es igual en ambos escenarios.</x:v>
      </x:c>
      <x:c r="B29" s="2"/>
      <x:c r="C29" s="2"/>
      <x:c r="D29" s="2"/>
      <x:c r="E29" s="2"/>
      <x:c r="F29" s="2"/>
    </x:row>
    <x:row r="30">
      <x:c r="A30" s="12" t="str">
        <x:v>Si no goza el descanso, conserva los días pendientes; cualquier pago vacacional se analiza aparte.</x:v>
      </x:c>
      <x:c r="B30" s="2"/>
      <x:c r="C30" s="2"/>
      <x:c r="D30" s="2"/>
      <x:c r="E30" s="2"/>
      <x:c r="F30" s="2"/>
    </x:row>
    <x:row r="31">
      <x:c r="A31" s="12" t="str">
        <x:v>Las ausencias sin goce no se ponen como vacaciones: se descuentan al ingresar el tiempo computable.</x:v>
      </x:c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</x:sheetData>
  <x:conditionalFormatting sqref="B13:B13">
    <x:cfRule type="containsText" dxfId="0" priority="1" operator="containsText" text="Revisar datos"/>
  </x:conditionalFormatting>
  <x:dataValidations count="3">
    <x:dataValidation type="whole" operator="between" sqref="B9">
      <x:formula1>1</x:formula1>
      <x:formula2>6</x:formula2>
    </x:dataValidation>
    <x:dataValidation type="whole" operator="between" sqref="B10">
      <x:formula1>0</x:formula1>
      <x:formula2>29</x:formula2>
    </x:dataValidation>
    <x:dataValidation type="whole" operator="between" sqref="B11:B12">
      <x:formula1>0</x:formula1>
      <x:formula2>30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D7C8F"/>
  </x:sheetPr>
  <x:sheetViews>
    <x:sheetView showGridLines="0" workbookViewId="0"/>
  </x:sheetViews>
  <x:sheetFormatPr defaultRowHeight="15"/>
  <x:cols>
    <x:col min="1" max="1" width="32" hidden="0" customWidth="1"/>
    <x:col min="2" max="2" width="80" hidden="0" customWidth="1"/>
    <x:col min="3" max="3" width="3" hidden="0" customWidth="1"/>
    <x:col min="4" max="4" width="31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Guía para explicar el cálculo</x:v>
      </x:c>
      <x:c r="B2" s="2"/>
      <x:c r="C2" s="2"/>
      <x:c r="D2" s="2"/>
      <x:c r="E2" s="2"/>
      <x:c r="F2" s="2"/>
    </x:row>
    <x:row r="3">
      <x:c r="A3" s="4"/>
      <x:c r="B3" s="4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7" t="str">
        <x:v>Qué se incluye</x:v>
      </x:c>
      <x:c r="B5" s="7"/>
      <x:c r="C5" s="2"/>
      <x:c r="D5" s="2"/>
      <x:c r="E5" s="2"/>
      <x:c r="F5" s="2"/>
    </x:row>
    <x:row r="6" ht="28" customHeight="1">
      <x:c r="A6" s="13" t="str">
        <x:v>Ámbito</x:v>
      </x:c>
      <x:c r="B6" s="26" t="str">
        <x:v>Trabajador del régimen laboral privado general con remuneración fija. Otros regímenes y conceptos variables requieren cálculo específico.</x:v>
      </x:c>
      <x:c r="C6" s="2"/>
      <x:c r="D6" s="2"/>
      <x:c r="E6" s="2"/>
      <x:c r="F6" s="2"/>
    </x:row>
    <x:row r="7" ht="28" customHeight="1">
      <x:c r="A7" s="13" t="str">
        <x:v>Periodo CTS</x:v>
      </x:c>
      <x:c r="B7" s="26" t="str">
        <x:v>Noviembre-abril o mayo-octubre. Depósito dentro de los primeros 15 días calendario de mayo o noviembre, respectivamente.</x:v>
      </x:c>
      <x:c r="C7" s="2"/>
      <x:c r="D7" s="2"/>
      <x:c r="E7" s="2"/>
      <x:c r="F7" s="2"/>
    </x:row>
    <x:row r="8" ht="28" customHeight="1">
      <x:c r="A8" s="13" t="str">
        <x:v>Base mensual</x:v>
      </x:c>
      <x:c r="B8" s="26" t="str">
        <x:v>Sueldo computable del mes de referencia + 1/6 de la gratificación percibida en el semestre correspondiente.</x:v>
      </x:c>
      <x:c r="C8" s="2"/>
      <x:c r="D8" s="2"/>
      <x:c r="E8" s="2"/>
      <x:c r="F8" s="2"/>
    </x:row>
    <x:row r="9" ht="28" customHeight="1">
      <x:c r="A9" s="13" t="str">
        <x:v>Tiempo</x:v>
      </x:c>
      <x:c r="B9" s="26" t="str">
        <x:v>Meses completos / 12 y días adicionales / 360. Se usa tiempo computable del semestre.</x:v>
      </x:c>
      <x:c r="C9" s="2"/>
      <x:c r="D9" s="2"/>
      <x:c r="E9" s="2"/>
      <x:c r="F9" s="2"/>
    </x:row>
    <x:row r="10" ht="28" customHeight="1">
      <x:c r="A10" s="13" t="str">
        <x:v>Vacaciones pagadas</x:v>
      </x:c>
      <x:c r="B10" s="26" t="str">
        <x:v>Sí cuentan como tiempo computable para la CTS. No disminuyen la base ni el periodo por sí mismas.</x:v>
      </x:c>
      <x:c r="C10" s="2"/>
      <x:c r="D10" s="2"/>
      <x:c r="E10" s="2"/>
      <x:c r="F10" s="2"/>
    </x:row>
    <x:row r="11" ht="28" customHeight="1">
      <x:c r="A11" s="13" t="str">
        <x:v>Descanso anual</x:v>
      </x:c>
      <x:c r="B11" s="26" t="str">
        <x:v>30 días calendario por año completo, sujeto al récord: 210 días laborados si se trabaja 5 días/semana; 260 si se trabaja 6.</x:v>
      </x:c>
      <x:c r="C11" s="2"/>
      <x:c r="D11" s="2"/>
      <x:c r="E11" s="2"/>
      <x:c r="F11" s="2"/>
    </x:row>
    <x:row r="12" ht="28" customHeight="1">
      <x:c r="A12" s="13"/>
      <x:c r="B12" s="26"/>
      <x:c r="C12" s="2"/>
      <x:c r="D12" s="2"/>
      <x:c r="E12" s="2"/>
      <x:c r="F12" s="2"/>
    </x:row>
    <x:row r="13" ht="28" customHeight="1">
      <x:c r="A13" s="7" t="str">
        <x:v>Cómo contar los dos escenarios</x:v>
      </x:c>
      <x:c r="B13" s="7"/>
      <x:c r="C13" s="2"/>
      <x:c r="D13" s="2"/>
      <x:c r="E13" s="2"/>
      <x:c r="F13" s="2"/>
    </x:row>
    <x:row r="14" ht="28" customHeight="1">
      <x:c r="A14" s="13" t="str">
        <x:v>No salió</x:v>
      </x:c>
      <x:c r="B14" s="26" t="str">
        <x:v>Ejemplo: 30 días de descanso ya adquiridos, 0 gozados → 30 pendientes. CTS del semestre completo: S/ 1,750.</x:v>
      </x:c>
      <x:c r="C14" s="2"/>
      <x:c r="D14" s="2"/>
      <x:c r="E14" s="2"/>
      <x:c r="F14" s="2"/>
    </x:row>
    <x:row r="15" ht="28" customHeight="1">
      <x:c r="A15" s="13" t="str">
        <x:v>Sí salió</x:v>
      </x:c>
      <x:c r="B15" s="26" t="str">
        <x:v>Ejemplo: 30 adquiridos, 15 gozados y pagados → 15 pendientes. CTS del mismo semestre: S/ 1,750.</x:v>
      </x:c>
      <x:c r="C15" s="2"/>
      <x:c r="D15" s="2"/>
      <x:c r="E15" s="2"/>
      <x:c r="F15" s="2"/>
    </x:row>
    <x:row r="16" ht="28" customHeight="1">
      <x:c r="A16" s="13" t="str">
        <x:v>Ausencia sin goce</x:v>
      </x:c>
      <x:c r="B16" s="26" t="str">
        <x:v>No equivale a vacaciones pagadas. Ejemplo didáctico: 5 meses y 15 días computables → CTS S/ 1,604.17.</x:v>
      </x:c>
      <x:c r="C16" s="2"/>
      <x:c r="D16" s="2"/>
      <x:c r="E16" s="2"/>
      <x:c r="F16" s="2"/>
    </x:row>
    <x:row r="17" ht="28" customHeight="1">
      <x:c r="A17" s="13" t="str">
        <x:v>Vacaciones no gozadas</x:v>
      </x:c>
      <x:c r="B17" s="26" t="str">
        <x:v>El eventual pago por vacaciones no gozadas o truncas se calcula aparte; no se suma automáticamente a la CTS.</x:v>
      </x:c>
      <x:c r="C17" s="2"/>
      <x:c r="D17" s="2"/>
      <x:c r="E17" s="2"/>
      <x:c r="F17" s="2"/>
    </x:row>
    <x:row r="18" ht="28" customHeight="1">
      <x:c r="A18" s="13"/>
      <x:c r="B18" s="26"/>
      <x:c r="C18" s="2"/>
      <x:c r="D18" s="2"/>
      <x:c r="E18" s="2"/>
      <x:c r="F18" s="2"/>
    </x:row>
    <x:row r="19" ht="28" customHeight="1">
      <x:c r="A19" s="7" t="str">
        <x:v>Normas y fuentes oficiales</x:v>
      </x:c>
      <x:c r="B19" s="7"/>
      <x:c r="C19" s="2"/>
      <x:c r="D19" s="2"/>
      <x:c r="E19" s="2"/>
      <x:c r="F19" s="2"/>
    </x:row>
    <x:row r="20" ht="28" customHeight="1">
      <x:c r="A20" s="13" t="str">
        <x:v>CTS · D. S. 001-97-TR</x:v>
      </x:c>
      <x:c r="B20" s="29" t="str">
        <x:v>https://www.gob.pe/institucion/mtpe/informes-publicaciones/221736-texto-unico-ordenado-de-la-ley-de-compensacion-por-tiempo-de-servicios</x:v>
      </x:c>
      <x:c r="C20" s="2"/>
      <x:c r="D20" s="2"/>
      <x:c r="E20" s="2"/>
      <x:c r="F20" s="2"/>
    </x:row>
    <x:row r="21" ht="28" customHeight="1">
      <x:c r="A21" s="13" t="str">
        <x:v>Vacaciones · D. Leg. 713</x:v>
      </x:c>
      <x:c r="B21" s="29" t="str">
        <x:v>https://www.leyes.congreso.gob.pe/Documentos/DecretosLegislativos/00713.pdf</x:v>
      </x:c>
      <x:c r="C21" s="2"/>
      <x:c r="D21" s="2"/>
      <x:c r="E21" s="2"/>
      <x:c r="F21" s="2"/>
    </x:row>
    <x:row r="22" ht="28" customHeight="1">
      <x:c r="A22" s="13" t="str">
        <x:v>CTS · guía MTPE</x:v>
      </x:c>
      <x:c r="B22" s="29" t="str">
        <x:v>https://cdn.www.gob.pe/uploads/document/file/8050277/6757898-guia_compensacion_tiempo_servicios.pdf</x:v>
      </x:c>
      <x:c r="C22" s="2"/>
      <x:c r="D22" s="2"/>
      <x:c r="E22" s="2"/>
      <x:c r="F22" s="2"/>
    </x:row>
    <x:row r="23" ht="28" customHeight="1">
      <x:c r="A23" s="13" t="str">
        <x:v>Vacaciones · guía MTPE</x:v>
      </x:c>
      <x:c r="B23" s="29" t="str">
        <x:v>https://cdn.www.gob.pe/uploads/document/file/296438/Vacaciones_-_Final.pdf</x:v>
      </x:c>
      <x:c r="C23" s="2"/>
      <x:c r="D23" s="2"/>
      <x:c r="E23" s="2"/>
      <x:c r="F23" s="2"/>
    </x:row>
    <x:row r="24" ht="28" customHeight="1">
      <x:c r="A24" s="13"/>
      <x:c r="B24" s="26"/>
      <x:c r="C24" s="2"/>
      <x:c r="D24" s="2"/>
      <x:c r="E24" s="2"/>
      <x:c r="F24" s="2"/>
    </x:row>
    <x:row r="25" ht="28" customHeight="1">
      <x:c r="A25" s="25" t="str">
        <x:v>Nota</x:v>
      </x:c>
      <x:c r="B25" s="28" t="str">
        <x:v>Este archivo es un ejercicio académico. Verifica remuneraciones variables, asignación familiar, jornada, régimen y fecha de ingreso antes de una liquidación real.</x:v>
      </x:c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</x:sheetData>
  <x:pageMargins left="0.7" right="0.7" top="0.75" bottom="0.75" header="0.3" footer="0.3"/>
</x:worksheet>
</file>