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ocuments\ChatGPT\moviles\outputs\01a1147d-d462-7cc0-af31-8e46c052cf2f\"/>
    </mc:Choice>
  </mc:AlternateContent>
  <xr:revisionPtr revIDLastSave="0" documentId="13_ncr:1_{58DB20DD-1348-4AF8-A3F4-7FE45FD11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TS" sheetId="1" r:id="rId1"/>
    <sheet name="Gratificacion" sheetId="2" r:id="rId2"/>
    <sheet name="Instructores" sheetId="3" r:id="rId3"/>
    <sheet name="Quinta 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3" i="3" s="1"/>
  <c r="C11" i="2"/>
  <c r="C26" i="1"/>
  <c r="C15" i="1"/>
  <c r="C16" i="3" l="1"/>
  <c r="F21" i="3"/>
  <c r="C30" i="3"/>
  <c r="C39" i="3"/>
  <c r="C16" i="2"/>
  <c r="C15" i="2"/>
  <c r="C19" i="1"/>
  <c r="C20" i="1" s="1"/>
  <c r="G8" i="4" l="1"/>
  <c r="F8" i="4"/>
  <c r="F26" i="4" s="1"/>
  <c r="C25" i="3"/>
  <c r="C26" i="3" s="1"/>
  <c r="C31" i="3"/>
  <c r="C18" i="3"/>
  <c r="C19" i="3"/>
  <c r="C8" i="4"/>
  <c r="E8" i="4"/>
  <c r="H8" i="4"/>
  <c r="J8" i="4"/>
  <c r="L8" i="4"/>
  <c r="N8" i="4"/>
  <c r="I8" i="4"/>
  <c r="K8" i="4"/>
  <c r="C17" i="3"/>
  <c r="D8" i="4"/>
  <c r="M8" i="4"/>
  <c r="C17" i="2"/>
  <c r="C18" i="2" s="1"/>
  <c r="C4" i="2" s="1"/>
  <c r="C22" i="1"/>
  <c r="C21" i="1"/>
  <c r="G9" i="4" l="1"/>
  <c r="G10" i="4" s="1"/>
  <c r="G11" i="4"/>
  <c r="G12" i="4" s="1"/>
  <c r="G26" i="4"/>
  <c r="F11" i="4"/>
  <c r="F9" i="4"/>
  <c r="F10" i="4" s="1"/>
  <c r="J26" i="4"/>
  <c r="J9" i="4"/>
  <c r="J10" i="4" s="1"/>
  <c r="J11" i="4"/>
  <c r="L26" i="4"/>
  <c r="L9" i="4"/>
  <c r="L10" i="4" s="1"/>
  <c r="L11" i="4"/>
  <c r="N9" i="4"/>
  <c r="N10" i="4" s="1"/>
  <c r="N11" i="4"/>
  <c r="N26" i="4"/>
  <c r="D23" i="4"/>
  <c r="D11" i="4"/>
  <c r="D26" i="4"/>
  <c r="I9" i="4"/>
  <c r="I10" i="4" s="1"/>
  <c r="I11" i="4"/>
  <c r="I26" i="4"/>
  <c r="K9" i="4"/>
  <c r="K10" i="4" s="1"/>
  <c r="K11" i="4"/>
  <c r="K26" i="4"/>
  <c r="D9" i="4"/>
  <c r="D10" i="4" s="1"/>
  <c r="M9" i="4"/>
  <c r="M10" i="4" s="1"/>
  <c r="M11" i="4"/>
  <c r="M26" i="4"/>
  <c r="C20" i="3"/>
  <c r="C11" i="4"/>
  <c r="C26" i="4"/>
  <c r="C9" i="4"/>
  <c r="C10" i="4" s="1"/>
  <c r="C23" i="4"/>
  <c r="E11" i="4"/>
  <c r="E26" i="4"/>
  <c r="E9" i="4"/>
  <c r="E10" i="4" s="1"/>
  <c r="E23" i="4"/>
  <c r="H9" i="4"/>
  <c r="H10" i="4" s="1"/>
  <c r="H11" i="4"/>
  <c r="H26" i="4"/>
  <c r="C23" i="1"/>
  <c r="C4" i="1" s="1"/>
  <c r="G32" i="4" l="1"/>
  <c r="G33" i="4" s="1"/>
  <c r="G35" i="4"/>
  <c r="F12" i="4"/>
  <c r="F32" i="4"/>
  <c r="F33" i="4" s="1"/>
  <c r="J32" i="4"/>
  <c r="J33" i="4" s="1"/>
  <c r="J12" i="4"/>
  <c r="C35" i="3"/>
  <c r="G17" i="4"/>
  <c r="G18" i="4"/>
  <c r="G16" i="4"/>
  <c r="G19" i="4"/>
  <c r="G15" i="4"/>
  <c r="C34" i="3"/>
  <c r="I32" i="4"/>
  <c r="I33" i="4" s="1"/>
  <c r="I12" i="4"/>
  <c r="K32" i="4"/>
  <c r="K33" i="4" s="1"/>
  <c r="K12" i="4"/>
  <c r="D32" i="4"/>
  <c r="D33" i="4" s="1"/>
  <c r="D12" i="4"/>
  <c r="M32" i="4"/>
  <c r="M33" i="4" s="1"/>
  <c r="M12" i="4"/>
  <c r="L32" i="4"/>
  <c r="L33" i="4" s="1"/>
  <c r="L12" i="4"/>
  <c r="N32" i="4"/>
  <c r="N33" i="4" s="1"/>
  <c r="N12" i="4"/>
  <c r="E32" i="4"/>
  <c r="E33" i="4" s="1"/>
  <c r="E12" i="4"/>
  <c r="H32" i="4"/>
  <c r="H33" i="4" s="1"/>
  <c r="H12" i="4"/>
  <c r="C32" i="4"/>
  <c r="C33" i="4" s="1"/>
  <c r="C12" i="4"/>
  <c r="G38" i="4" l="1"/>
  <c r="G37" i="4"/>
  <c r="G39" i="4"/>
  <c r="G36" i="4"/>
  <c r="G40" i="4" s="1"/>
  <c r="G27" i="4" s="1"/>
  <c r="I19" i="4"/>
  <c r="I15" i="4"/>
  <c r="I16" i="4"/>
  <c r="I18" i="4"/>
  <c r="I17" i="4"/>
  <c r="H38" i="4"/>
  <c r="H37" i="4"/>
  <c r="H35" i="4"/>
  <c r="F18" i="4"/>
  <c r="F16" i="4"/>
  <c r="F15" i="4"/>
  <c r="F19" i="4"/>
  <c r="F17" i="4"/>
  <c r="F38" i="4"/>
  <c r="F35" i="4"/>
  <c r="F36" i="4"/>
  <c r="F39" i="4"/>
  <c r="F37" i="4"/>
  <c r="G20" i="4"/>
  <c r="G28" i="4" s="1"/>
  <c r="J35" i="4"/>
  <c r="J36" i="4"/>
  <c r="J38" i="4"/>
  <c r="J37" i="4"/>
  <c r="J39" i="4"/>
  <c r="J19" i="4"/>
  <c r="J17" i="4"/>
  <c r="J16" i="4"/>
  <c r="J15" i="4"/>
  <c r="J18" i="4"/>
  <c r="I39" i="4"/>
  <c r="I38" i="4"/>
  <c r="I36" i="4"/>
  <c r="I37" i="4"/>
  <c r="I35" i="4"/>
  <c r="M19" i="4"/>
  <c r="M17" i="4"/>
  <c r="M16" i="4"/>
  <c r="M15" i="4"/>
  <c r="M18" i="4"/>
  <c r="K36" i="4"/>
  <c r="K35" i="4"/>
  <c r="K39" i="4"/>
  <c r="K37" i="4"/>
  <c r="K38" i="4"/>
  <c r="K19" i="4"/>
  <c r="K16" i="4"/>
  <c r="K18" i="4"/>
  <c r="K17" i="4"/>
  <c r="K15" i="4"/>
  <c r="D35" i="4"/>
  <c r="D38" i="4"/>
  <c r="D37" i="4"/>
  <c r="D36" i="4"/>
  <c r="D39" i="4"/>
  <c r="D16" i="4"/>
  <c r="D18" i="4"/>
  <c r="D15" i="4"/>
  <c r="D17" i="4"/>
  <c r="D19" i="4"/>
  <c r="M37" i="4"/>
  <c r="M39" i="4"/>
  <c r="M36" i="4"/>
  <c r="M35" i="4"/>
  <c r="M38" i="4"/>
  <c r="L37" i="4"/>
  <c r="L39" i="4"/>
  <c r="L35" i="4"/>
  <c r="L38" i="4"/>
  <c r="L36" i="4"/>
  <c r="C36" i="3"/>
  <c r="L16" i="4"/>
  <c r="L17" i="4"/>
  <c r="L15" i="4"/>
  <c r="L18" i="4"/>
  <c r="L19" i="4"/>
  <c r="N37" i="4"/>
  <c r="N38" i="4"/>
  <c r="N36" i="4"/>
  <c r="N35" i="4"/>
  <c r="N39" i="4"/>
  <c r="N19" i="4"/>
  <c r="N15" i="4"/>
  <c r="N17" i="4"/>
  <c r="N16" i="4"/>
  <c r="N18" i="4"/>
  <c r="E35" i="4"/>
  <c r="E38" i="4"/>
  <c r="E36" i="4"/>
  <c r="E37" i="4"/>
  <c r="E39" i="4"/>
  <c r="E15" i="4"/>
  <c r="E17" i="4"/>
  <c r="E19" i="4"/>
  <c r="E18" i="4"/>
  <c r="E16" i="4"/>
  <c r="H39" i="4"/>
  <c r="H36" i="4"/>
  <c r="H19" i="4"/>
  <c r="H17" i="4"/>
  <c r="H18" i="4"/>
  <c r="H16" i="4"/>
  <c r="H15" i="4"/>
  <c r="C37" i="4"/>
  <c r="C35" i="4"/>
  <c r="C39" i="4"/>
  <c r="C38" i="4"/>
  <c r="C36" i="4"/>
  <c r="C19" i="4"/>
  <c r="C17" i="4"/>
  <c r="C15" i="4"/>
  <c r="C18" i="4"/>
  <c r="C16" i="4"/>
  <c r="I40" i="4" l="1"/>
  <c r="I27" i="4" s="1"/>
  <c r="I20" i="4"/>
  <c r="F40" i="4"/>
  <c r="F27" i="4" s="1"/>
  <c r="K20" i="4"/>
  <c r="D20" i="4"/>
  <c r="D25" i="4" s="1"/>
  <c r="H40" i="4"/>
  <c r="H27" i="4" s="1"/>
  <c r="F20" i="4"/>
  <c r="J40" i="4"/>
  <c r="J27" i="4" s="1"/>
  <c r="J20" i="4"/>
  <c r="L40" i="4"/>
  <c r="L27" i="4" s="1"/>
  <c r="N40" i="4"/>
  <c r="C40" i="4"/>
  <c r="C27" i="4" s="1"/>
  <c r="M20" i="4"/>
  <c r="K40" i="4"/>
  <c r="K27" i="4" s="1"/>
  <c r="M40" i="4"/>
  <c r="M27" i="4" s="1"/>
  <c r="M28" i="4" s="1"/>
  <c r="N20" i="4"/>
  <c r="D40" i="4"/>
  <c r="D27" i="4" s="1"/>
  <c r="E40" i="4"/>
  <c r="E27" i="4" s="1"/>
  <c r="H20" i="4"/>
  <c r="E20" i="4"/>
  <c r="C20" i="4"/>
  <c r="L20" i="4"/>
  <c r="I28" i="4" l="1"/>
  <c r="D28" i="4"/>
  <c r="D29" i="4" s="1"/>
  <c r="F28" i="4"/>
  <c r="J28" i="4"/>
  <c r="H28" i="4"/>
  <c r="C4" i="4"/>
  <c r="N27" i="4"/>
  <c r="N28" i="4" s="1"/>
  <c r="K28" i="4"/>
  <c r="E28" i="4"/>
  <c r="E25" i="4"/>
  <c r="L28" i="4"/>
  <c r="C41" i="3" s="1"/>
  <c r="C37" i="3"/>
  <c r="C25" i="4"/>
  <c r="C28" i="4"/>
  <c r="C29" i="4" l="1"/>
  <c r="E29" i="4"/>
  <c r="F23" i="4" s="1"/>
  <c r="F25" i="4" s="1"/>
  <c r="F29" i="4" s="1"/>
  <c r="G23" i="4" l="1"/>
  <c r="G25" i="4" s="1"/>
  <c r="G29" i="4" s="1"/>
  <c r="H23" i="4"/>
  <c r="H25" i="4" s="1"/>
  <c r="H29" i="4" s="1"/>
  <c r="I23" i="4"/>
  <c r="I25" i="4" s="1"/>
  <c r="I29" i="4" s="1"/>
  <c r="J23" i="4" l="1"/>
  <c r="J25" i="4" s="1"/>
  <c r="J29" i="4" s="1"/>
  <c r="L23" i="4" l="1"/>
  <c r="K23" i="4"/>
  <c r="K25" i="4" s="1"/>
  <c r="K29" i="4" s="1"/>
  <c r="M23" i="4"/>
  <c r="M25" i="4" s="1"/>
  <c r="M29" i="4" s="1"/>
  <c r="L25" i="4"/>
  <c r="L29" i="4" l="1"/>
  <c r="N23" i="4" l="1"/>
  <c r="C21" i="3"/>
  <c r="C22" i="3" s="1"/>
  <c r="C27" i="3" s="1"/>
  <c r="C4" i="3" s="1"/>
  <c r="N25" i="4" l="1"/>
  <c r="C38" i="3"/>
  <c r="C40" i="3" l="1"/>
  <c r="N29" i="4"/>
  <c r="C42" i="3" l="1"/>
  <c r="G4" i="4"/>
  <c r="K4" i="4" s="1"/>
</calcChain>
</file>

<file path=xl/sharedStrings.xml><?xml version="1.0" encoding="utf-8"?>
<sst xmlns="http://schemas.openxmlformats.org/spreadsheetml/2006/main" count="212" uniqueCount="185">
  <si>
    <t>CTS y vacaciones</t>
  </si>
  <si>
    <t>Cambia las celdas amarillas y usa los mismos datos en la app.</t>
  </si>
  <si>
    <t>CTS a depositar</t>
  </si>
  <si>
    <t>1. Datos editables</t>
  </si>
  <si>
    <t>Valor</t>
  </si>
  <si>
    <t>Remuneración mensual computable</t>
  </si>
  <si>
    <t>Sueldo fijo. Mayor que cero y hasta S/ 1,000,000.</t>
  </si>
  <si>
    <t>Gratificación recibida en el semestre CTS</t>
  </si>
  <si>
    <t>Monto completo, sin bonificación de EsSalud/EPS. Se divide entre 6 una vez.</t>
  </si>
  <si>
    <t>Meses computables</t>
  </si>
  <si>
    <t>De 1 a 6 meses. Periodos CTS: noviembre–abril o mayo–octubre.</t>
  </si>
  <si>
    <t>Días adicionales</t>
  </si>
  <si>
    <t>De 0 a 29 días. Con 6 meses, los días adicionales deben ser 0.</t>
  </si>
  <si>
    <t>Cumple el promedio mínimo de 4 h/día</t>
  </si>
  <si>
    <t>Sí</t>
  </si>
  <si>
    <t>20 h/semana en cinco días o 24 h/semana en seis días.</t>
  </si>
  <si>
    <t>Días de vacaciones ya adquiridos</t>
  </si>
  <si>
    <t>Días ya adquiridos: supone cumplir el año y el récord vacacional.</t>
  </si>
  <si>
    <t>Días de vacaciones gozados</t>
  </si>
  <si>
    <t>Solo vacaciones pagadas. No se descuentan del tiempo de CTS.</t>
  </si>
  <si>
    <t>Estado de los datos de CTS</t>
  </si>
  <si>
    <t>Si aparece «Revisar datos», corrige los rangos indicados arriba.</t>
  </si>
  <si>
    <t>2. Cálculo paso a paso</t>
  </si>
  <si>
    <t>Soles</t>
  </si>
  <si>
    <t>Un sexto de la gratificación</t>
  </si>
  <si>
    <t>Gratificación recibida / 6</t>
  </si>
  <si>
    <t>Base para calcular la CTS</t>
  </si>
  <si>
    <t>Sueldo + un sexto de gratificación</t>
  </si>
  <si>
    <t>CTS por meses</t>
  </si>
  <si>
    <t>Base × meses / 12</t>
  </si>
  <si>
    <t>CTS por días</t>
  </si>
  <si>
    <t>Base × días / 360</t>
  </si>
  <si>
    <t>CTS total</t>
  </si>
  <si>
    <t>Suma de ambas partes, redondeada a 2 decimales</t>
  </si>
  <si>
    <t>3. Vacaciones pagadas</t>
  </si>
  <si>
    <t>Días</t>
  </si>
  <si>
    <t>Días pendientes</t>
  </si>
  <si>
    <t>Prueba con 0 y con 15 días gozados: cambia el saldo, no la CTS.</t>
  </si>
  <si>
    <t>La base utiliza la gratificación recibida en el semestre de CTS.</t>
  </si>
  <si>
    <t>No se enlaza automáticamente con el semestre de la otra calculadora.</t>
  </si>
  <si>
    <t>Régimen privado general, sueldo fijo y tiempo ya computable.</t>
  </si>
  <si>
    <t>Fuente: guía CTS del MTPE
https://cdn.www.gob.pe/uploads/document/file/8050277/6757898-guia_compensacion_tiempo_servicios.pdf?v=1747167296</t>
  </si>
  <si>
    <t>Código de referencia: ContentView.swift (24125f0)
https://github.com/juniorcueva-star/MovilesAvanzado_JuniorCueva/blob/24125f0/semana%2009/LaboralPeru/LaboralPeru/ContentView.swift</t>
  </si>
  <si>
    <t>Fuente: jornada mínima para CTS (MTPE)
https://www.gob.pe/institucion/mtpe/noticias/1383535-mtpe-trabajadores-del-regimen-privado-que-laboren-4-horas-diarias-en-promedio-tienen-derecho-a-cts</t>
  </si>
  <si>
    <t>Gratificación</t>
  </si>
  <si>
    <t>Importe antes de quinta categoría</t>
  </si>
  <si>
    <t>Remuneración computable</t>
  </si>
  <si>
    <t>Sueldo fijo, hasta S/ 1,000,000. Sin ausencias no computables.</t>
  </si>
  <si>
    <t>Meses calendario completos</t>
  </si>
  <si>
    <t>De 0 a 6 meses completos. Las vacaciones pagadas sí cuentan.</t>
  </si>
  <si>
    <t>Cobertura EPS</t>
  </si>
  <si>
    <t>No</t>
  </si>
  <si>
    <t>Sí = EPS (6.75%). No = EsSalud (9%).</t>
  </si>
  <si>
    <t>Estado de los datos</t>
  </si>
  <si>
    <t>Resultado</t>
  </si>
  <si>
    <t>Gratificación legal</t>
  </si>
  <si>
    <t>Sueldo × meses / 6, redondeado a 2 decimales</t>
  </si>
  <si>
    <t>Tasa de bonificación</t>
  </si>
  <si>
    <t>Tasa según la cobertura de salud</t>
  </si>
  <si>
    <t>Bonificación extraordinaria</t>
  </si>
  <si>
    <t>Gratificación × tasa, redondeada a 2 decimales</t>
  </si>
  <si>
    <t>Total antes de quinta categoría</t>
  </si>
  <si>
    <t>Gratificación + bonificación</t>
  </si>
  <si>
    <t>Enero–junio para julio; julio–diciembre para Navidad.</t>
  </si>
  <si>
    <t>No se descuenta AFP/ONP de la gratificación legal ni de su bonificación.</t>
  </si>
  <si>
    <t>La quinta categoría depende de los ingresos anuales: este importe es previo al IR.</t>
  </si>
  <si>
    <t>Fuente: gratificaciones y bonificación (Sunafil)
https://www.gob.pe/institucion/sunafil/noticias/1413450-mas-de-9-000-denuncias-recibio-la-sunafil-por-falta-de-pago-de-la-gratificacion</t>
  </si>
  <si>
    <t>Fuente: Ley 30334
https://www.leyes.congreso.gob.pe/Documentos/Leyes/30334.pdf</t>
  </si>
  <si>
    <t>Pago de instructores</t>
  </si>
  <si>
    <t>Ejemplo 2026: mismo sueldo todo el año y un empleador.</t>
  </si>
  <si>
    <t>Total a recibir</t>
  </si>
  <si>
    <t>Dos gratificaciones completas. EsSalud. Sin otros ingresos.</t>
  </si>
  <si>
    <t>Edita solo las celdas amarillas para comparar con la app.</t>
  </si>
  <si>
    <t>Parámetros de la app (no cambiar)</t>
  </si>
  <si>
    <t>Horas semanales</t>
  </si>
  <si>
    <t>Pago por hora</t>
  </si>
  <si>
    <t>Mes de pago</t>
  </si>
  <si>
    <t>Octubre</t>
  </si>
  <si>
    <t>Semanas del ejercicio</t>
  </si>
  <si>
    <t>Sistema de pensiones</t>
  </si>
  <si>
    <t>ONP</t>
  </si>
  <si>
    <t>Horas semanales máximas</t>
  </si>
  <si>
    <t>AFP seleccionada</t>
  </si>
  <si>
    <t>Integra</t>
  </si>
  <si>
    <t>UIT 2026</t>
  </si>
  <si>
    <t>Tipo de comisión AFP</t>
  </si>
  <si>
    <t>Flujo</t>
  </si>
  <si>
    <t>UIT deducibles</t>
  </si>
  <si>
    <t>Número del mes</t>
  </si>
  <si>
    <t>Tasa ONP</t>
  </si>
  <si>
    <t>Tasa EsSalud</t>
  </si>
  <si>
    <t>RMV enero–septiembre</t>
  </si>
  <si>
    <t>2. Sueldo y descuentos</t>
  </si>
  <si>
    <t>RMV octubre–diciembre</t>
  </si>
  <si>
    <t>Sueldo bruto</t>
  </si>
  <si>
    <t>Aporte al fondo AFP</t>
  </si>
  <si>
    <t>Aporte ONP / fondo AFP</t>
  </si>
  <si>
    <t>Seguro AFP</t>
  </si>
  <si>
    <t>Bonificación EsSalud</t>
  </si>
  <si>
    <t>Comisión sobre sueldo</t>
  </si>
  <si>
    <t>Tope asegurable AFP octubre–diciembre</t>
  </si>
  <si>
    <t>Descuento total de pensión</t>
  </si>
  <si>
    <t>12 sueldos + 2 gratificaciones</t>
  </si>
  <si>
    <t>Renta de quinta categoría</t>
  </si>
  <si>
    <t>Comisión sobre sueldo elegida</t>
  </si>
  <si>
    <t>Sueldo después de descuentos</t>
  </si>
  <si>
    <t>Sobre sueldo</t>
  </si>
  <si>
    <t>Anual / saldo</t>
  </si>
  <si>
    <t>3. Pagos adicionales</t>
  </si>
  <si>
    <t>AFP: tasas de octubre de 2026</t>
  </si>
  <si>
    <t>Gratificación del mes</t>
  </si>
  <si>
    <t>Habitat</t>
  </si>
  <si>
    <t>Bonificación extraordinaria 9%</t>
  </si>
  <si>
    <t>Prima</t>
  </si>
  <si>
    <t>Profuturo</t>
  </si>
  <si>
    <t>4. Aporte del empleador</t>
  </si>
  <si>
    <t>RMV del mes seleccionado</t>
  </si>
  <si>
    <t>Con comisión sobre saldo, el cobro anual se hace del fondo.</t>
  </si>
  <si>
    <t>EsSalud (no se resta del neto)</t>
  </si>
  <si>
    <t>No se suma esa tasa anual al descuento mensual del sueldo.</t>
  </si>
  <si>
    <t>5. Detalle de quinta categoría</t>
  </si>
  <si>
    <t>Tramos progresivos de quinta categoría</t>
  </si>
  <si>
    <t>Ingresos anuales para retención ordinaria</t>
  </si>
  <si>
    <t>Primeras 5 UIT</t>
  </si>
  <si>
    <t>Deducción de 7 UIT</t>
  </si>
  <si>
    <t>Siguientes 15 UIT</t>
  </si>
  <si>
    <t>Renta neta anual gravable</t>
  </si>
  <si>
    <t>Impuesto anual por tramos</t>
  </si>
  <si>
    <t>Siguientes 10 UIT</t>
  </si>
  <si>
    <t>Retenciones previas a descontar</t>
  </si>
  <si>
    <t>Exceso de 45 UIT</t>
  </si>
  <si>
    <t>Divisor del periodo</t>
  </si>
  <si>
    <t>Retención ordinaria</t>
  </si>
  <si>
    <t>Los S/50, las 23 horas y las 4 semanas son reglas del ejercicio.</t>
  </si>
  <si>
    <t>Retención adicional por bonificación</t>
  </si>
  <si>
    <t>Las vacaciones pagadas mantienen el sueldo del mes.</t>
  </si>
  <si>
    <t>Retención total del mes</t>
  </si>
  <si>
    <t>Fuente: tasas AFP, SBS octubre 2026
https://www.sbs.gob.pe/app/spp/empleadores/comisiones_spp/Paginas/comision_prima.aspx</t>
  </si>
  <si>
    <t>Fuente: UIT 2026, SUNAT
https://www.sunat.gob.pe/indicestasas/uit.html</t>
  </si>
  <si>
    <t>Flujo = comisión sobre sueldo. Saldo = comisión sobre fondo.</t>
  </si>
  <si>
    <t>Fuente: retenciones de quinta, artículo 40 (SUNAT)
https://www.sunat.gob.pe/legislacion/renta/regla/cap10.pdf</t>
  </si>
  <si>
    <t>Si eliges ONP, AFP y tipo de comisión no cambian el pago.</t>
  </si>
  <si>
    <t>Fuente: ONP y tasa de 13% (SUNAT)
https://orientacion.sunat.gob.pe/08-tasa-y-calculo-del-aporte-al-snp-onp</t>
  </si>
  <si>
    <t>Fuente: EsSalud y base mínima (SUNAT)
https://orientacion.sunat.gob.pe/07-tasa-y-calculo-del-aporte-al-essalud</t>
  </si>
  <si>
    <t>Fuente: RMV desde octubre 2026, D. S. 015-2026-TR
https://busquedas.elperuano.pe/dispositivo/EX/2559163-1</t>
  </si>
  <si>
    <t>Quinta categoría mes a mes</t>
  </si>
  <si>
    <t>Sueldo fijo todo 2026. La bonificación extraordinaria se incorpora cuando se paga.</t>
  </si>
  <si>
    <t>Impuesto anual al cierre</t>
  </si>
  <si>
    <t>Retenido anual</t>
  </si>
  <si>
    <t>Diferencia</t>
  </si>
  <si>
    <t>Mes (número)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</si>
  <si>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</si>
  <si>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</si>
  <si>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</si>
  <si>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</si>
  <si>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</si>
  <si>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</si>
  <si>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</si>
  <si>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</si>
  <si>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</si>
  <si>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</si>
  <si>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</si>
  <si>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</si>
  <si>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t>Sueldo bruto mensual</t>
  </si>
  <si>
    <t>Bonificación de julio ya percibida</t>
  </si>
  <si>
    <t>Ingresos anuales ordinarios</t>
  </si>
  <si>
    <t>1. Impuesto anual por tramos</t>
  </si>
  <si>
    <t>Primeras 5 UIT × 8%</t>
  </si>
  <si>
    <t>Siguientes 15 UIT × 14%</t>
  </si>
  <si>
    <t>Siguientes 15 UIT × 17%</t>
  </si>
  <si>
    <t>Siguientes 10 UIT × 20%</t>
  </si>
  <si>
    <t>Exceso de 45 UIT × 30%</t>
  </si>
  <si>
    <t>Impuesto anual ordinario</t>
  </si>
  <si>
    <t>2. Retención mensual</t>
  </si>
  <si>
    <t>Retención ordinaria del mes</t>
  </si>
  <si>
    <t>Bonificación extraordinaria del mes</t>
  </si>
  <si>
    <t>Impuesto con bonificación actual</t>
  </si>
  <si>
    <t>Total retenido en el mes</t>
  </si>
  <si>
    <t>3. Impuesto al agregar la bonificación</t>
  </si>
  <si>
    <t>Ingresos anuales + bonificación actual</t>
  </si>
  <si>
    <t>Renta neta con bonificación actual</t>
  </si>
  <si>
    <t>Impuesto anual con bono actual</t>
  </si>
  <si>
    <t>Enero–marzo: /12. Abril: restar enero–marzo y /9. Mayo–julio: restar enero–abril y /8.</t>
  </si>
  <si>
    <t>Agosto: restar enero–julio y /5. Septiembre–noviembre: restar enero–agosto y /4. Diciembre: ajuste final.</t>
  </si>
  <si>
    <t>La suma retenida debe coincidir con el impuesto anual que incluye ambas bonificaciones.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</si>
</sst>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 &quot;#,##0.00;[Red]\(&quot;S/ &quot;#,##0.00\);&quot;S/ &quot;0.00"/>
    <numFmt numFmtId="165" formatCode="0&quot; UIT&quot;"/>
  </numFmts>
  <fonts count="11">
    <font>
      <sz val="11"/>
      <name val="Carlito"/>
    </font>
    <font>
      <sz val="11"/>
      <color rgb="FF203538"/>
      <name val="Arial"/>
    </font>
    <font>
      <b/>
      <sz val="16"/>
      <color rgb="FF0F6163"/>
      <name val="Arial"/>
    </font>
    <font>
      <sz val="11"/>
      <color rgb="FF52646A"/>
      <name val="Arial"/>
    </font>
    <font>
      <b/>
      <sz val="14"/>
      <color rgb="FFFFFFFF"/>
      <name val="Arial"/>
    </font>
    <font>
      <b/>
      <sz val="11"/>
      <color rgb="FF0F6163"/>
      <name val="Arial"/>
    </font>
    <font>
      <sz val="11"/>
      <color rgb="FF164A91"/>
      <name val="Arial"/>
    </font>
    <font>
      <sz val="9"/>
      <color rgb="FF165F8A"/>
      <name val="Arial"/>
    </font>
    <font>
      <b/>
      <sz val="11"/>
      <color rgb="FF203538"/>
      <name val="Arial"/>
    </font>
    <font>
      <i/>
      <sz val="11"/>
      <color rgb="FF7B8589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F6163"/>
      </patternFill>
    </fill>
    <fill>
      <patternFill patternType="solid">
        <fgColor rgb="FFEAF3F3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0F6163"/>
      </bottom>
      <diagonal/>
    </border>
    <border>
      <left/>
      <right/>
      <top style="thin">
        <color rgb="FF0F6163"/>
      </top>
      <bottom/>
      <diagonal/>
    </border>
    <border>
      <left/>
      <right/>
      <top style="thin">
        <color rgb="FFBFD5D5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1" fontId="6" fillId="4" borderId="0" xfId="0" applyNumberFormat="1" applyFont="1" applyFill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10" fontId="1" fillId="0" borderId="0" xfId="0" applyNumberFormat="1" applyFont="1" applyAlignment="1">
      <alignment horizontal="right" vertical="center"/>
    </xf>
    <xf numFmtId="2" fontId="6" fillId="4" borderId="0" xfId="0" applyNumberFormat="1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164" fontId="8" fillId="0" borderId="3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164" fontId="8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FFA32121"/>
      </font>
      <fill>
        <patternFill patternType="solid">
          <bgColor rgb="FFFCE4E4"/>
        </patternFill>
      </fill>
    </dxf>
    <dxf>
      <font>
        <b/>
        <color rgb="FFA32121"/>
      </font>
      <fill>
        <patternFill patternType="solid">
          <bgColor rgb="FFFCE4E4"/>
        </patternFill>
      </fill>
    </dxf>
    <dxf>
      <font>
        <b/>
        <color rgb="FFA32121"/>
      </font>
      <fill>
        <patternFill patternType="solid">
          <bgColor rgb="FFFCE4E4"/>
        </patternFill>
      </fill>
    </dxf>
    <dxf>
      <font>
        <b/>
        <color rgb="FFA32121"/>
      </font>
      <fill>
        <patternFill patternType="solid"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163"/>
  </sheetPr>
  <dimension ref="A1:E35"/>
  <sheetViews>
    <sheetView showGridLines="0" tabSelected="1" workbookViewId="0"/>
  </sheetViews>
  <sheetFormatPr baseColWidth="10" defaultColWidth="8.796875" defaultRowHeight="13.8"/>
  <cols>
    <col min="1" max="1" width="3" customWidth="1"/>
    <col min="2" max="2" width="51.19921875" customWidth="1"/>
    <col min="3" max="3" width="21.19921875" customWidth="1"/>
    <col min="4" max="4" width="3.19921875" customWidth="1"/>
    <col min="5" max="5" width="76.19921875" customWidth="1"/>
  </cols>
  <sheetData>
    <row r="1" spans="1:5" ht="25.95" customHeight="1">
      <c r="A1" s="1"/>
      <c r="B1" s="1"/>
      <c r="C1" s="4"/>
      <c r="D1" s="1"/>
      <c r="E1" s="1"/>
    </row>
    <row r="2" spans="1:5" ht="36" customHeight="1">
      <c r="A2" s="1"/>
      <c r="B2" s="2" t="s">
        <v>0</v>
      </c>
      <c r="C2" s="5"/>
      <c r="D2" s="3"/>
      <c r="E2" s="3"/>
    </row>
    <row r="3" spans="1:5" ht="25.95" customHeight="1">
      <c r="A3" s="1"/>
      <c r="B3" s="1"/>
      <c r="C3" s="4"/>
      <c r="D3" s="1"/>
      <c r="E3" s="6" t="s">
        <v>1</v>
      </c>
    </row>
    <row r="4" spans="1:5" ht="37.950000000000003" customHeight="1">
      <c r="A4" s="1"/>
      <c r="B4" s="7" t="s">
        <v>2</v>
      </c>
      <c r="C4" s="8">
        <f>C23</f>
        <v>1750</v>
      </c>
      <c r="D4" s="1"/>
      <c r="E4" s="1"/>
    </row>
    <row r="5" spans="1:5" ht="25.95" customHeight="1">
      <c r="A5" s="1"/>
      <c r="B5" s="1"/>
      <c r="C5" s="4"/>
      <c r="D5" s="1"/>
      <c r="E5" s="1"/>
    </row>
    <row r="6" spans="1:5" ht="28.05" customHeight="1">
      <c r="A6" s="1"/>
      <c r="B6" s="9" t="s">
        <v>3</v>
      </c>
      <c r="C6" s="10" t="s">
        <v>4</v>
      </c>
      <c r="D6" s="1"/>
      <c r="E6" s="1"/>
    </row>
    <row r="7" spans="1:5" ht="25.95" customHeight="1">
      <c r="A7" s="1"/>
      <c r="B7" s="1" t="s">
        <v>5</v>
      </c>
      <c r="C7" s="12">
        <v>3000</v>
      </c>
      <c r="D7" s="1"/>
      <c r="E7" s="6" t="s">
        <v>6</v>
      </c>
    </row>
    <row r="8" spans="1:5" ht="25.95" customHeight="1">
      <c r="A8" s="1"/>
      <c r="B8" s="1" t="s">
        <v>7</v>
      </c>
      <c r="C8" s="12">
        <v>3000</v>
      </c>
      <c r="D8" s="1"/>
      <c r="E8" s="6" t="s">
        <v>8</v>
      </c>
    </row>
    <row r="9" spans="1:5" ht="25.95" customHeight="1">
      <c r="A9" s="1"/>
      <c r="B9" s="1" t="s">
        <v>9</v>
      </c>
      <c r="C9" s="13">
        <v>6</v>
      </c>
      <c r="D9" s="1"/>
      <c r="E9" s="6" t="s">
        <v>10</v>
      </c>
    </row>
    <row r="10" spans="1:5" ht="25.95" customHeight="1">
      <c r="A10" s="1"/>
      <c r="B10" s="1" t="s">
        <v>11</v>
      </c>
      <c r="C10" s="13">
        <v>0</v>
      </c>
      <c r="D10" s="1"/>
      <c r="E10" s="6" t="s">
        <v>12</v>
      </c>
    </row>
    <row r="11" spans="1:5" ht="25.95" customHeight="1">
      <c r="A11" s="1"/>
      <c r="B11" s="1" t="s">
        <v>13</v>
      </c>
      <c r="C11" s="11" t="s">
        <v>14</v>
      </c>
      <c r="D11" s="1"/>
      <c r="E11" s="6" t="s">
        <v>15</v>
      </c>
    </row>
    <row r="12" spans="1:5" ht="25.95" customHeight="1">
      <c r="A12" s="1"/>
      <c r="B12" s="1" t="s">
        <v>16</v>
      </c>
      <c r="C12" s="13">
        <v>30</v>
      </c>
      <c r="D12" s="1"/>
      <c r="E12" s="6" t="s">
        <v>17</v>
      </c>
    </row>
    <row r="13" spans="1:5" ht="25.95" customHeight="1">
      <c r="A13" s="1"/>
      <c r="B13" s="1" t="s">
        <v>18</v>
      </c>
      <c r="C13" s="13">
        <v>0</v>
      </c>
      <c r="D13" s="1"/>
      <c r="E13" s="6" t="s">
        <v>19</v>
      </c>
    </row>
    <row r="14" spans="1:5" ht="25.95" customHeight="1">
      <c r="A14" s="1"/>
      <c r="B14" s="1"/>
      <c r="C14" s="4"/>
      <c r="D14" s="1"/>
      <c r="E14" s="1"/>
    </row>
    <row r="15" spans="1:5" ht="25.95" customHeight="1">
      <c r="A15" s="1"/>
      <c r="B15" s="1" t="s">
        <v>20</v>
      </c>
      <c r="C15" s="4" t="str">
        <f>IF(COUNT(C7:C10)&lt;&gt;4,"Revisar datos",IF(NOT(AND(C7&gt;0,C7&lt;=1000000,ROUND(C7,2)=C7,C8&gt;=0,C8&lt;=1000000,ROUND(C8,2)=C8,C9=INT(C9),C9&gt;=1,C9&lt;=6,C10=INT(C10),C10&gt;=0,C10&lt;=29,OR(C9&lt;6,C10=0),OR(C11="Sí",C11="No"))),"Revisar datos",IF(C11="No","Sin derecho","Listo")))</f>
        <v>Listo</v>
      </c>
      <c r="D15" s="1"/>
      <c r="E15" s="6" t="s">
        <v>21</v>
      </c>
    </row>
    <row r="16" spans="1:5" ht="25.95" customHeight="1">
      <c r="A16" s="1"/>
      <c r="B16" s="1"/>
      <c r="C16" s="4"/>
      <c r="D16" s="1"/>
      <c r="E16" s="1"/>
    </row>
    <row r="17" spans="1:5" ht="25.95" customHeight="1">
      <c r="A17" s="1"/>
      <c r="B17" s="1"/>
      <c r="C17" s="4"/>
      <c r="D17" s="1"/>
      <c r="E17" s="1"/>
    </row>
    <row r="18" spans="1:5" ht="28.05" customHeight="1">
      <c r="A18" s="1"/>
      <c r="B18" s="9" t="s">
        <v>22</v>
      </c>
      <c r="C18" s="10" t="s">
        <v>23</v>
      </c>
      <c r="D18" s="1"/>
      <c r="E18" s="1"/>
    </row>
    <row r="19" spans="1:5" ht="25.95" customHeight="1">
      <c r="A19" s="1"/>
      <c r="B19" s="1" t="s">
        <v>24</v>
      </c>
      <c r="C19" s="14">
        <f>IF(C15="Listo",C8/6,"n.a.")</f>
        <v>500</v>
      </c>
      <c r="D19" s="1"/>
      <c r="E19" s="1" t="s">
        <v>25</v>
      </c>
    </row>
    <row r="20" spans="1:5" ht="25.95" customHeight="1">
      <c r="A20" s="1"/>
      <c r="B20" s="1" t="s">
        <v>26</v>
      </c>
      <c r="C20" s="14">
        <f>IF(C15="Listo",SUM(C7,C19),"n.a.")</f>
        <v>3500</v>
      </c>
      <c r="D20" s="1"/>
      <c r="E20" s="1" t="s">
        <v>27</v>
      </c>
    </row>
    <row r="21" spans="1:5" ht="25.95" customHeight="1">
      <c r="A21" s="1"/>
      <c r="B21" s="1" t="s">
        <v>28</v>
      </c>
      <c r="C21" s="14">
        <f>IF(C15="Listo",C20*C9/12,"n.a.")</f>
        <v>1750</v>
      </c>
      <c r="D21" s="1"/>
      <c r="E21" s="1" t="s">
        <v>29</v>
      </c>
    </row>
    <row r="22" spans="1:5" ht="25.95" customHeight="1">
      <c r="A22" s="1"/>
      <c r="B22" s="1" t="s">
        <v>30</v>
      </c>
      <c r="C22" s="14">
        <f>IF(C15="Listo",C20*C10/360,"n.a.")</f>
        <v>0</v>
      </c>
      <c r="D22" s="1"/>
      <c r="E22" s="1" t="s">
        <v>31</v>
      </c>
    </row>
    <row r="23" spans="1:5" ht="25.95" customHeight="1">
      <c r="A23" s="1"/>
      <c r="B23" s="15" t="s">
        <v>32</v>
      </c>
      <c r="C23" s="16">
        <f>IF(C15="Listo",ROUND(SUM(C21:C22),2),"n.a.")</f>
        <v>1750</v>
      </c>
      <c r="D23" s="1"/>
      <c r="E23" s="1" t="s">
        <v>33</v>
      </c>
    </row>
    <row r="24" spans="1:5" ht="25.95" customHeight="1">
      <c r="A24" s="1"/>
      <c r="B24" s="1"/>
      <c r="C24" s="4"/>
      <c r="D24" s="1"/>
      <c r="E24" s="1"/>
    </row>
    <row r="25" spans="1:5" ht="28.05" customHeight="1">
      <c r="A25" s="1"/>
      <c r="B25" s="9" t="s">
        <v>34</v>
      </c>
      <c r="C25" s="10" t="s">
        <v>35</v>
      </c>
      <c r="D25" s="1"/>
      <c r="E25" s="1"/>
    </row>
    <row r="26" spans="1:5" ht="25.95" customHeight="1">
      <c r="A26" s="1"/>
      <c r="B26" s="1" t="s">
        <v>36</v>
      </c>
      <c r="C26" s="4">
        <f>IF(COUNT(C12:C13)&lt;&gt;2,"Revisar datos",IF(AND(C12=INT(C12),C12&gt;=0,C12&lt;=30,C13=INT(C13),C13&gt;=0,C13&lt;=C12),C12-C13,"Revisar datos"))</f>
        <v>30</v>
      </c>
      <c r="D26" s="1"/>
      <c r="E26" s="6" t="s">
        <v>37</v>
      </c>
    </row>
    <row r="27" spans="1:5" ht="25.95" customHeight="1">
      <c r="A27" s="1"/>
      <c r="B27" s="1"/>
      <c r="C27" s="4"/>
      <c r="D27" s="1"/>
      <c r="E27" s="1"/>
    </row>
    <row r="28" spans="1:5" ht="25.95" customHeight="1">
      <c r="A28" s="1"/>
      <c r="B28" s="1"/>
      <c r="C28" s="4"/>
      <c r="D28" s="1"/>
      <c r="E28" s="6" t="s">
        <v>38</v>
      </c>
    </row>
    <row r="29" spans="1:5" ht="25.95" customHeight="1">
      <c r="A29" s="1"/>
      <c r="B29" s="1"/>
      <c r="C29" s="4"/>
      <c r="D29" s="1"/>
      <c r="E29" s="6" t="s">
        <v>39</v>
      </c>
    </row>
    <row r="30" spans="1:5" ht="25.95" customHeight="1">
      <c r="A30" s="1"/>
      <c r="B30" s="1"/>
      <c r="C30" s="4"/>
      <c r="D30" s="1"/>
      <c r="E30" s="6" t="s">
        <v>40</v>
      </c>
    </row>
    <row r="31" spans="1:5" ht="25.95" customHeight="1">
      <c r="A31" s="1"/>
      <c r="B31" s="1"/>
      <c r="C31" s="4"/>
      <c r="D31" s="1"/>
      <c r="E31" s="1"/>
    </row>
    <row r="32" spans="1:5" ht="76.05" customHeight="1">
      <c r="A32" s="1"/>
      <c r="B32" s="17" t="s">
        <v>41</v>
      </c>
      <c r="C32" s="4"/>
      <c r="D32" s="1"/>
      <c r="E32" s="17" t="s">
        <v>42</v>
      </c>
    </row>
    <row r="33" spans="1:5" ht="76.05" customHeight="1">
      <c r="A33" s="1"/>
      <c r="B33" s="17" t="s">
        <v>43</v>
      </c>
      <c r="C33" s="4"/>
      <c r="D33" s="1"/>
      <c r="E33" s="1"/>
    </row>
    <row r="34" spans="1:5" ht="25.95" customHeight="1">
      <c r="A34" s="1"/>
      <c r="B34" s="1"/>
      <c r="C34" s="4"/>
      <c r="D34" s="1"/>
      <c r="E34" s="1"/>
    </row>
    <row r="35" spans="1:5" ht="25.95" customHeight="1">
      <c r="A35" s="1"/>
      <c r="B35" s="1"/>
      <c r="C35" s="4"/>
      <c r="D35" s="1"/>
      <c r="E35" s="1"/>
    </row>
  </sheetData>
  <conditionalFormatting sqref="C15">
    <cfRule type="cellIs" dxfId="3" priority="1" operator="notEqual">
      <formula>"Listo"</formula>
    </cfRule>
  </conditionalFormatting>
  <dataValidations count="4">
    <dataValidation type="whole" sqref="C9" xr:uid="{00000000-0002-0000-0000-000000000000}">
      <formula1>1</formula1>
      <formula2>6</formula2>
    </dataValidation>
    <dataValidation type="whole" sqref="C10" xr:uid="{00000000-0002-0000-0000-000001000000}">
      <formula1>0</formula1>
      <formula2>29</formula2>
    </dataValidation>
    <dataValidation type="whole" sqref="C12:C13" xr:uid="{00000000-0002-0000-0000-000002000000}">
      <formula1>0</formula1>
      <formula2>30</formula2>
    </dataValidation>
    <dataValidation type="list" sqref="C11" xr:uid="{00000000-0002-0000-0000-000004000000}">
      <formula1>"Sí,No"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163"/>
  </sheetPr>
  <dimension ref="A1:E29"/>
  <sheetViews>
    <sheetView showGridLines="0" workbookViewId="0"/>
  </sheetViews>
  <sheetFormatPr baseColWidth="10" defaultColWidth="8.796875" defaultRowHeight="13.8"/>
  <cols>
    <col min="1" max="1" width="3" customWidth="1"/>
    <col min="2" max="2" width="51.19921875" customWidth="1"/>
    <col min="3" max="3" width="21.19921875" customWidth="1"/>
    <col min="4" max="4" width="3.19921875" customWidth="1"/>
    <col min="5" max="5" width="76.19921875" customWidth="1"/>
  </cols>
  <sheetData>
    <row r="1" spans="1:5" ht="25.95" customHeight="1">
      <c r="A1" s="1"/>
      <c r="B1" s="1"/>
      <c r="C1" s="4"/>
      <c r="D1" s="1"/>
      <c r="E1" s="1"/>
    </row>
    <row r="2" spans="1:5" ht="36" customHeight="1">
      <c r="A2" s="1"/>
      <c r="B2" s="2" t="s">
        <v>44</v>
      </c>
      <c r="C2" s="5"/>
      <c r="D2" s="3"/>
      <c r="E2" s="3"/>
    </row>
    <row r="3" spans="1:5" ht="25.95" customHeight="1">
      <c r="A3" s="1"/>
      <c r="B3" s="1"/>
      <c r="C3" s="4"/>
      <c r="D3" s="1"/>
      <c r="E3" s="6" t="s">
        <v>1</v>
      </c>
    </row>
    <row r="4" spans="1:5" ht="37.950000000000003" customHeight="1">
      <c r="A4" s="1"/>
      <c r="B4" s="7" t="s">
        <v>45</v>
      </c>
      <c r="C4" s="8">
        <f>C18</f>
        <v>3270</v>
      </c>
      <c r="D4" s="1"/>
      <c r="E4" s="1"/>
    </row>
    <row r="5" spans="1:5" ht="25.95" customHeight="1">
      <c r="A5" s="1"/>
      <c r="B5" s="1"/>
      <c r="C5" s="4"/>
      <c r="D5" s="1"/>
      <c r="E5" s="1"/>
    </row>
    <row r="6" spans="1:5" ht="28.05" customHeight="1">
      <c r="A6" s="1"/>
      <c r="B6" s="9" t="s">
        <v>3</v>
      </c>
      <c r="C6" s="10" t="s">
        <v>4</v>
      </c>
      <c r="D6" s="1"/>
      <c r="E6" s="1"/>
    </row>
    <row r="7" spans="1:5" ht="25.95" customHeight="1">
      <c r="A7" s="1"/>
      <c r="B7" s="1" t="s">
        <v>46</v>
      </c>
      <c r="C7" s="12">
        <v>3000</v>
      </c>
      <c r="D7" s="1"/>
      <c r="E7" s="6" t="s">
        <v>47</v>
      </c>
    </row>
    <row r="8" spans="1:5" ht="25.95" customHeight="1">
      <c r="A8" s="1"/>
      <c r="B8" s="1" t="s">
        <v>48</v>
      </c>
      <c r="C8" s="11">
        <v>6</v>
      </c>
      <c r="D8" s="1"/>
      <c r="E8" s="6" t="s">
        <v>49</v>
      </c>
    </row>
    <row r="9" spans="1:5" ht="25.95" customHeight="1">
      <c r="A9" s="1"/>
      <c r="B9" s="1" t="s">
        <v>50</v>
      </c>
      <c r="C9" s="11" t="s">
        <v>51</v>
      </c>
      <c r="D9" s="1"/>
      <c r="E9" s="6" t="s">
        <v>52</v>
      </c>
    </row>
    <row r="10" spans="1:5" ht="25.95" customHeight="1">
      <c r="A10" s="1"/>
      <c r="B10" s="1"/>
      <c r="C10" s="4"/>
      <c r="D10" s="1"/>
      <c r="E10" s="1"/>
    </row>
    <row r="11" spans="1:5" ht="25.95" customHeight="1">
      <c r="A11" s="1"/>
      <c r="B11" s="1" t="s">
        <v>53</v>
      </c>
      <c r="C11" s="4" t="str">
        <f>IF(COUNT(C7:C8)&lt;&gt;2,"Revisar datos",IF(AND(C7&gt;0,C7&lt;=1000000,ROUND(C7,2)=C7,C8=INT(C8),C8&gt;=0,C8&lt;=6,OR(C9="Sí",C9="No")),"Listo","Revisar datos"))</f>
        <v>Listo</v>
      </c>
      <c r="D11" s="1"/>
      <c r="E11" s="1"/>
    </row>
    <row r="12" spans="1:5" ht="25.95" customHeight="1">
      <c r="A12" s="1"/>
      <c r="B12" s="1"/>
      <c r="C12" s="4"/>
      <c r="D12" s="1"/>
      <c r="E12" s="1"/>
    </row>
    <row r="13" spans="1:5" ht="25.95" customHeight="1">
      <c r="A13" s="1"/>
      <c r="B13" s="1"/>
      <c r="C13" s="4"/>
      <c r="D13" s="1"/>
      <c r="E13" s="1"/>
    </row>
    <row r="14" spans="1:5" ht="28.05" customHeight="1">
      <c r="A14" s="1"/>
      <c r="B14" s="9" t="s">
        <v>22</v>
      </c>
      <c r="C14" s="10" t="s">
        <v>54</v>
      </c>
      <c r="D14" s="1"/>
      <c r="E14" s="1"/>
    </row>
    <row r="15" spans="1:5" ht="25.95" customHeight="1">
      <c r="A15" s="1"/>
      <c r="B15" s="1" t="s">
        <v>55</v>
      </c>
      <c r="C15" s="14">
        <f>IF(C11="Listo",ROUND(C7*C8/6,2),"n.a.")</f>
        <v>3000</v>
      </c>
      <c r="D15" s="1"/>
      <c r="E15" s="1" t="s">
        <v>56</v>
      </c>
    </row>
    <row r="16" spans="1:5" ht="25.95" customHeight="1">
      <c r="A16" s="1"/>
      <c r="B16" s="1" t="s">
        <v>57</v>
      </c>
      <c r="C16" s="18">
        <f>IF(C11="Listo",IF(C9="Sí",0.0675,0.09),"n.a.")</f>
        <v>0.09</v>
      </c>
      <c r="D16" s="1"/>
      <c r="E16" s="1" t="s">
        <v>58</v>
      </c>
    </row>
    <row r="17" spans="1:5" ht="25.95" customHeight="1">
      <c r="A17" s="1"/>
      <c r="B17" s="1" t="s">
        <v>59</v>
      </c>
      <c r="C17" s="14">
        <f>IF(C11="Listo",ROUND(C15*C16,2),"n.a.")</f>
        <v>270</v>
      </c>
      <c r="D17" s="1"/>
      <c r="E17" s="1" t="s">
        <v>60</v>
      </c>
    </row>
    <row r="18" spans="1:5" ht="25.95" customHeight="1">
      <c r="A18" s="1"/>
      <c r="B18" s="15" t="s">
        <v>61</v>
      </c>
      <c r="C18" s="16">
        <f>IF(C11="Listo",ROUND(SUM(C15,C17),2),"n.a.")</f>
        <v>3270</v>
      </c>
      <c r="D18" s="1"/>
      <c r="E18" s="1" t="s">
        <v>62</v>
      </c>
    </row>
    <row r="19" spans="1:5" ht="25.95" customHeight="1">
      <c r="A19" s="1"/>
      <c r="B19" s="1"/>
      <c r="C19" s="4"/>
      <c r="D19" s="1"/>
      <c r="E19" s="1"/>
    </row>
    <row r="20" spans="1:5" ht="25.95" customHeight="1">
      <c r="A20" s="1"/>
      <c r="B20" s="1"/>
      <c r="C20" s="4"/>
      <c r="D20" s="1"/>
      <c r="E20" s="6" t="s">
        <v>63</v>
      </c>
    </row>
    <row r="21" spans="1:5" ht="25.95" customHeight="1">
      <c r="A21" s="1"/>
      <c r="B21" s="1"/>
      <c r="C21" s="4"/>
      <c r="D21" s="1"/>
      <c r="E21" s="6" t="s">
        <v>64</v>
      </c>
    </row>
    <row r="22" spans="1:5" ht="25.95" customHeight="1">
      <c r="A22" s="1"/>
      <c r="B22" s="1"/>
      <c r="C22" s="4"/>
      <c r="D22" s="1"/>
      <c r="E22" s="6" t="s">
        <v>65</v>
      </c>
    </row>
    <row r="23" spans="1:5" ht="25.95" customHeight="1">
      <c r="A23" s="1"/>
      <c r="B23" s="1"/>
      <c r="C23" s="4"/>
      <c r="D23" s="1"/>
      <c r="E23" s="1"/>
    </row>
    <row r="24" spans="1:5" ht="25.95" customHeight="1">
      <c r="A24" s="1"/>
      <c r="B24" s="1"/>
      <c r="C24" s="4"/>
      <c r="D24" s="1"/>
      <c r="E24" s="1"/>
    </row>
    <row r="25" spans="1:5" ht="76.05" customHeight="1">
      <c r="A25" s="1"/>
      <c r="B25" s="17" t="s">
        <v>66</v>
      </c>
      <c r="C25" s="4"/>
      <c r="D25" s="1"/>
      <c r="E25" s="1"/>
    </row>
    <row r="26" spans="1:5" ht="76.05" customHeight="1">
      <c r="A26" s="1"/>
      <c r="B26" s="17" t="s">
        <v>67</v>
      </c>
      <c r="C26" s="4"/>
      <c r="D26" s="1"/>
      <c r="E26" s="1"/>
    </row>
    <row r="27" spans="1:5" ht="25.95" customHeight="1">
      <c r="A27" s="1"/>
      <c r="B27" s="1"/>
      <c r="C27" s="4"/>
      <c r="D27" s="1"/>
      <c r="E27" s="1"/>
    </row>
    <row r="28" spans="1:5" ht="25.95" customHeight="1">
      <c r="A28" s="1"/>
      <c r="B28" s="1"/>
      <c r="C28" s="4"/>
      <c r="D28" s="1"/>
      <c r="E28" s="1"/>
    </row>
    <row r="29" spans="1:5" ht="25.95" customHeight="1">
      <c r="A29" s="1"/>
      <c r="B29" s="1"/>
      <c r="C29" s="4"/>
      <c r="D29" s="1"/>
      <c r="E29" s="1"/>
    </row>
  </sheetData>
  <conditionalFormatting sqref="C11">
    <cfRule type="cellIs" dxfId="2" priority="1" operator="notEqual">
      <formula>"Listo"</formula>
    </cfRule>
  </conditionalFormatting>
  <dataValidations count="2">
    <dataValidation type="whole" sqref="C8" xr:uid="{00000000-0002-0000-0100-000000000000}">
      <formula1>0</formula1>
      <formula2>6</formula2>
    </dataValidation>
    <dataValidation type="list" sqref="C9" xr:uid="{00000000-0002-0000-0100-000001000000}">
      <formula1>"Sí,No"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163"/>
  </sheetPr>
  <dimension ref="A1:G49"/>
  <sheetViews>
    <sheetView showGridLines="0" workbookViewId="0"/>
  </sheetViews>
  <sheetFormatPr baseColWidth="10" defaultColWidth="8.796875" defaultRowHeight="13.8"/>
  <cols>
    <col min="1" max="1" width="3" customWidth="1"/>
    <col min="2" max="2" width="51.19921875" customWidth="1"/>
    <col min="3" max="3" width="21.19921875" customWidth="1"/>
    <col min="4" max="4" width="3.19921875" customWidth="1"/>
    <col min="5" max="5" width="46.19921875" customWidth="1"/>
    <col min="6" max="6" width="18.09765625" customWidth="1"/>
    <col min="7" max="7" width="15.59765625" customWidth="1"/>
  </cols>
  <sheetData>
    <row r="1" spans="1:7" ht="25.95" customHeight="1">
      <c r="A1" s="1"/>
      <c r="B1" s="1"/>
      <c r="C1" s="4"/>
      <c r="D1" s="1"/>
      <c r="E1" s="1"/>
      <c r="F1" s="1"/>
      <c r="G1" s="1"/>
    </row>
    <row r="2" spans="1:7" ht="36" customHeight="1">
      <c r="A2" s="1"/>
      <c r="B2" s="2" t="s">
        <v>68</v>
      </c>
      <c r="C2" s="5"/>
      <c r="D2" s="3"/>
      <c r="E2" s="3"/>
      <c r="F2" s="3"/>
      <c r="G2" s="3"/>
    </row>
    <row r="3" spans="1:7" ht="25.95" customHeight="1">
      <c r="A3" s="1"/>
      <c r="B3" s="1"/>
      <c r="C3" s="4"/>
      <c r="D3" s="1"/>
      <c r="E3" s="6" t="s">
        <v>69</v>
      </c>
      <c r="F3" s="1"/>
      <c r="G3" s="1"/>
    </row>
    <row r="4" spans="1:7" ht="37.950000000000003" customHeight="1">
      <c r="A4" s="1"/>
      <c r="B4" s="7" t="s">
        <v>70</v>
      </c>
      <c r="C4" s="8">
        <f>C27</f>
        <v>3829.34</v>
      </c>
      <c r="D4" s="1"/>
      <c r="E4" s="6" t="s">
        <v>71</v>
      </c>
      <c r="F4" s="1"/>
      <c r="G4" s="1"/>
    </row>
    <row r="5" spans="1:7" ht="25.95" customHeight="1">
      <c r="A5" s="1"/>
      <c r="B5" s="1"/>
      <c r="C5" s="4"/>
      <c r="D5" s="1"/>
      <c r="E5" s="6" t="s">
        <v>72</v>
      </c>
      <c r="F5" s="1"/>
      <c r="G5" s="1"/>
    </row>
    <row r="6" spans="1:7" ht="28.05" customHeight="1">
      <c r="A6" s="1"/>
      <c r="B6" s="9" t="s">
        <v>3</v>
      </c>
      <c r="C6" s="10" t="s">
        <v>4</v>
      </c>
      <c r="D6" s="1"/>
      <c r="E6" s="9" t="s">
        <v>73</v>
      </c>
      <c r="F6" s="9" t="s">
        <v>4</v>
      </c>
      <c r="G6" s="1"/>
    </row>
    <row r="7" spans="1:7" ht="25.95" customHeight="1">
      <c r="A7" s="1"/>
      <c r="B7" s="1" t="s">
        <v>74</v>
      </c>
      <c r="C7" s="19">
        <v>23</v>
      </c>
      <c r="D7" s="1"/>
      <c r="E7" s="1" t="s">
        <v>75</v>
      </c>
      <c r="F7" s="25">
        <v>50</v>
      </c>
      <c r="G7" s="1"/>
    </row>
    <row r="8" spans="1:7" ht="25.95" customHeight="1">
      <c r="A8" s="1"/>
      <c r="B8" s="1" t="s">
        <v>76</v>
      </c>
      <c r="C8" s="11" t="s">
        <v>77</v>
      </c>
      <c r="D8" s="1"/>
      <c r="E8" s="1" t="s">
        <v>78</v>
      </c>
      <c r="F8" s="26">
        <v>4</v>
      </c>
      <c r="G8" s="1"/>
    </row>
    <row r="9" spans="1:7" ht="25.95" customHeight="1">
      <c r="A9" s="1"/>
      <c r="B9" s="1" t="s">
        <v>79</v>
      </c>
      <c r="C9" s="11" t="s">
        <v>80</v>
      </c>
      <c r="D9" s="1"/>
      <c r="E9" s="1" t="s">
        <v>81</v>
      </c>
      <c r="F9" s="26">
        <v>23</v>
      </c>
      <c r="G9" s="1"/>
    </row>
    <row r="10" spans="1:7" ht="25.95" customHeight="1">
      <c r="A10" s="1"/>
      <c r="B10" s="1" t="s">
        <v>82</v>
      </c>
      <c r="C10" s="11" t="s">
        <v>83</v>
      </c>
      <c r="D10" s="1"/>
      <c r="E10" s="1" t="s">
        <v>84</v>
      </c>
      <c r="F10" s="25">
        <v>5500</v>
      </c>
      <c r="G10" s="1"/>
    </row>
    <row r="11" spans="1:7" ht="25.95" customHeight="1">
      <c r="A11" s="1"/>
      <c r="B11" s="1" t="s">
        <v>85</v>
      </c>
      <c r="C11" s="11" t="s">
        <v>86</v>
      </c>
      <c r="D11" s="1"/>
      <c r="E11" s="1" t="s">
        <v>87</v>
      </c>
      <c r="F11" s="26">
        <v>7</v>
      </c>
      <c r="G11" s="1"/>
    </row>
    <row r="12" spans="1:7" ht="25.95" customHeight="1">
      <c r="A12" s="1"/>
      <c r="B12" s="1" t="s">
        <v>88</v>
      </c>
      <c r="C12" s="4">
        <f>IF(COUNTIFS('Quinta 2026'!$C$6:$N$6,C8)=1,MATCH(C8,'Quinta 2026'!$C$6:$N$6,0),"n.a.")</f>
        <v>10</v>
      </c>
      <c r="D12" s="1"/>
      <c r="E12" s="1" t="s">
        <v>89</v>
      </c>
      <c r="F12" s="27">
        <v>0.13</v>
      </c>
      <c r="G12" s="1"/>
    </row>
    <row r="13" spans="1:7" ht="25.95" customHeight="1">
      <c r="A13" s="1"/>
      <c r="B13" s="1" t="s">
        <v>53</v>
      </c>
      <c r="C13" s="4" t="str">
        <f>IF(NOT(ISNUMBER(C7)),"Revisar datos",IF(AND(C7&gt;0,C7&lt;=$F$9,ROUND(C7,2)=C7,ISNUMBER(C12),OR(C9="ONP",C9="AFP"),COUNTIFS($E$25:$E$28,C10)=1,OR(C11="Flujo",C11="Saldo")),"Listo","Revisar datos"))</f>
        <v>Listo</v>
      </c>
      <c r="D13" s="1"/>
      <c r="E13" s="1" t="s">
        <v>90</v>
      </c>
      <c r="F13" s="27">
        <v>0.09</v>
      </c>
      <c r="G13" s="1"/>
    </row>
    <row r="14" spans="1:7" ht="25.95" customHeight="1">
      <c r="A14" s="1"/>
      <c r="B14" s="1"/>
      <c r="C14" s="4"/>
      <c r="D14" s="1"/>
      <c r="E14" s="1" t="s">
        <v>91</v>
      </c>
      <c r="F14" s="25">
        <v>1130</v>
      </c>
      <c r="G14" s="1"/>
    </row>
    <row r="15" spans="1:7" ht="28.05" customHeight="1">
      <c r="A15" s="1"/>
      <c r="B15" s="9" t="s">
        <v>92</v>
      </c>
      <c r="C15" s="10" t="s">
        <v>23</v>
      </c>
      <c r="D15" s="1"/>
      <c r="E15" s="1" t="s">
        <v>93</v>
      </c>
      <c r="F15" s="25">
        <v>1230</v>
      </c>
      <c r="G15" s="1"/>
    </row>
    <row r="16" spans="1:7" ht="25.95" customHeight="1">
      <c r="A16" s="1"/>
      <c r="B16" s="1" t="s">
        <v>94</v>
      </c>
      <c r="C16" s="14">
        <f>IF(C13="Listo",ROUND(C7*$F$7*$F$8,2),"n.a.")</f>
        <v>4600</v>
      </c>
      <c r="D16" s="1"/>
      <c r="E16" s="1" t="s">
        <v>95</v>
      </c>
      <c r="F16" s="27">
        <v>0.1</v>
      </c>
      <c r="G16" s="1"/>
    </row>
    <row r="17" spans="1:7" ht="25.95" customHeight="1">
      <c r="A17" s="1"/>
      <c r="B17" s="1" t="s">
        <v>96</v>
      </c>
      <c r="C17" s="14">
        <f>IF(C13="Listo",ROUND(C16*IF(C9="ONP",$F$12,$F$16),2),"n.a.")</f>
        <v>598</v>
      </c>
      <c r="D17" s="1"/>
      <c r="E17" s="1" t="s">
        <v>97</v>
      </c>
      <c r="F17" s="27">
        <v>1.37E-2</v>
      </c>
      <c r="G17" s="1"/>
    </row>
    <row r="18" spans="1:7" ht="25.95" customHeight="1">
      <c r="A18" s="1"/>
      <c r="B18" s="1" t="s">
        <v>97</v>
      </c>
      <c r="C18" s="14">
        <f>IF(C13="Listo",IF(C9="ONP",0,ROUND(MIN(C16,$F$19)*$F$17,2)),"n.a.")</f>
        <v>0</v>
      </c>
      <c r="D18" s="1"/>
      <c r="E18" s="1" t="s">
        <v>98</v>
      </c>
      <c r="F18" s="27">
        <v>0.09</v>
      </c>
      <c r="G18" s="1"/>
    </row>
    <row r="19" spans="1:7" ht="25.95" customHeight="1">
      <c r="A19" s="1"/>
      <c r="B19" s="1" t="s">
        <v>99</v>
      </c>
      <c r="C19" s="14">
        <f>IF(C13="Listo",IF(OR(C9="ONP",C11="Saldo"),0,ROUND(C16*$F$21,2)),"n.a.")</f>
        <v>0</v>
      </c>
      <c r="D19" s="1"/>
      <c r="E19" s="1" t="s">
        <v>100</v>
      </c>
      <c r="F19" s="25">
        <v>12732.7</v>
      </c>
      <c r="G19" s="1"/>
    </row>
    <row r="20" spans="1:7" ht="25.95" customHeight="1">
      <c r="A20" s="1"/>
      <c r="B20" s="23" t="s">
        <v>101</v>
      </c>
      <c r="C20" s="24">
        <f>IF(C13="Listo",ROUND(SUM(C17:C19),2),"n.a.")</f>
        <v>598</v>
      </c>
      <c r="D20" s="1"/>
      <c r="E20" s="1" t="s">
        <v>102</v>
      </c>
      <c r="F20" s="26">
        <v>14</v>
      </c>
      <c r="G20" s="1"/>
    </row>
    <row r="21" spans="1:7" ht="25.95" customHeight="1">
      <c r="A21" s="1"/>
      <c r="B21" s="1" t="s">
        <v>103</v>
      </c>
      <c r="C21" s="14">
        <f>IF(C13="Listo",INDEX('Quinta 2026'!$C$29:$N$29,1,C12),"n.a.")</f>
        <v>172.66</v>
      </c>
      <c r="D21" s="1"/>
      <c r="E21" s="1" t="s">
        <v>104</v>
      </c>
      <c r="F21" s="27">
        <f>IF(C13="Listo",INDEX($F$25:$F$28,MATCH(C10,$E$25:$E$28,0)),"n.a.")</f>
        <v>1.55E-2</v>
      </c>
      <c r="G21" s="1"/>
    </row>
    <row r="22" spans="1:7" ht="25.95" customHeight="1">
      <c r="A22" s="1"/>
      <c r="B22" s="23" t="s">
        <v>105</v>
      </c>
      <c r="C22" s="24">
        <f>IF(C13="Listo",ROUND(C16-C20-C21,2),"n.a.")</f>
        <v>3829.34</v>
      </c>
      <c r="D22" s="1"/>
      <c r="E22" s="1"/>
      <c r="F22" s="1"/>
      <c r="G22" s="1"/>
    </row>
    <row r="23" spans="1:7" ht="25.95" customHeight="1">
      <c r="A23" s="1"/>
      <c r="B23" s="1"/>
      <c r="C23" s="14"/>
      <c r="D23" s="1"/>
      <c r="E23" s="1"/>
      <c r="F23" s="22" t="s">
        <v>106</v>
      </c>
      <c r="G23" s="22" t="s">
        <v>107</v>
      </c>
    </row>
    <row r="24" spans="1:7" ht="28.05" customHeight="1">
      <c r="A24" s="1"/>
      <c r="B24" s="9" t="s">
        <v>108</v>
      </c>
      <c r="C24" s="20" t="s">
        <v>23</v>
      </c>
      <c r="D24" s="1"/>
      <c r="E24" s="9" t="s">
        <v>109</v>
      </c>
      <c r="F24" s="9"/>
      <c r="G24" s="9"/>
    </row>
    <row r="25" spans="1:7" ht="25.95" customHeight="1">
      <c r="A25" s="1"/>
      <c r="B25" s="1" t="s">
        <v>110</v>
      </c>
      <c r="C25" s="14">
        <f>IF(C13="Listo",IF(OR(C12=7,C12=12),C16,0),"n.a.")</f>
        <v>0</v>
      </c>
      <c r="D25" s="1"/>
      <c r="E25" s="1" t="s">
        <v>111</v>
      </c>
      <c r="F25" s="27">
        <v>1.47E-2</v>
      </c>
      <c r="G25" s="27">
        <v>1.2500000000000001E-2</v>
      </c>
    </row>
    <row r="26" spans="1:7" ht="25.95" customHeight="1">
      <c r="A26" s="1"/>
      <c r="B26" s="1" t="s">
        <v>112</v>
      </c>
      <c r="C26" s="14">
        <f>IF(C13="Listo",ROUND(C25*$F$18,2),"n.a.")</f>
        <v>0</v>
      </c>
      <c r="D26" s="1"/>
      <c r="E26" s="1" t="s">
        <v>83</v>
      </c>
      <c r="F26" s="27">
        <v>1.55E-2</v>
      </c>
      <c r="G26" s="27">
        <v>7.7999999999999996E-3</v>
      </c>
    </row>
    <row r="27" spans="1:7" ht="25.95" customHeight="1">
      <c r="A27" s="1"/>
      <c r="B27" s="23" t="s">
        <v>70</v>
      </c>
      <c r="C27" s="24">
        <f>IF(C13="Listo",ROUND(SUM(C22,C25:C26),2),"n.a.")</f>
        <v>3829.34</v>
      </c>
      <c r="D27" s="1"/>
      <c r="E27" s="1" t="s">
        <v>113</v>
      </c>
      <c r="F27" s="27">
        <v>1.6E-2</v>
      </c>
      <c r="G27" s="27">
        <v>1.2500000000000001E-2</v>
      </c>
    </row>
    <row r="28" spans="1:7" ht="25.95" customHeight="1">
      <c r="A28" s="1"/>
      <c r="B28" s="1"/>
      <c r="C28" s="14"/>
      <c r="D28" s="1"/>
      <c r="E28" s="1" t="s">
        <v>114</v>
      </c>
      <c r="F28" s="27">
        <v>1.6899999999999998E-2</v>
      </c>
      <c r="G28" s="27">
        <v>6.7999999999999996E-3</v>
      </c>
    </row>
    <row r="29" spans="1:7" ht="28.05" customHeight="1">
      <c r="A29" s="1"/>
      <c r="B29" s="9" t="s">
        <v>115</v>
      </c>
      <c r="C29" s="20" t="s">
        <v>23</v>
      </c>
      <c r="D29" s="1"/>
      <c r="E29" s="1"/>
      <c r="F29" s="1"/>
      <c r="G29" s="1"/>
    </row>
    <row r="30" spans="1:7" ht="25.95" customHeight="1">
      <c r="A30" s="1"/>
      <c r="B30" s="1" t="s">
        <v>116</v>
      </c>
      <c r="C30" s="14">
        <f>IF(C13="Listo",IF(C12&gt;=10,$F$15,$F$14),"n.a.")</f>
        <v>1230</v>
      </c>
      <c r="D30" s="1"/>
      <c r="E30" s="6" t="s">
        <v>117</v>
      </c>
      <c r="F30" s="1"/>
      <c r="G30" s="1"/>
    </row>
    <row r="31" spans="1:7" ht="25.95" customHeight="1">
      <c r="A31" s="1"/>
      <c r="B31" s="23" t="s">
        <v>118</v>
      </c>
      <c r="C31" s="24">
        <f>IF(C13="Listo",ROUND(MAX(C16,C30)*$F$13,2),"n.a.")</f>
        <v>414</v>
      </c>
      <c r="D31" s="1"/>
      <c r="E31" s="6" t="s">
        <v>119</v>
      </c>
      <c r="F31" s="1"/>
      <c r="G31" s="1"/>
    </row>
    <row r="32" spans="1:7" ht="25.95" customHeight="1">
      <c r="A32" s="1"/>
      <c r="B32" s="1"/>
      <c r="C32" s="14"/>
      <c r="D32" s="1"/>
      <c r="E32" s="1"/>
      <c r="F32" s="1"/>
      <c r="G32" s="1"/>
    </row>
    <row r="33" spans="1:7" ht="28.05" customHeight="1">
      <c r="A33" s="1"/>
      <c r="B33" s="9" t="s">
        <v>120</v>
      </c>
      <c r="C33" s="20" t="s">
        <v>54</v>
      </c>
      <c r="D33" s="1"/>
      <c r="E33" s="9" t="s">
        <v>121</v>
      </c>
      <c r="F33" s="9"/>
      <c r="G33" s="9"/>
    </row>
    <row r="34" spans="1:7" ht="25.95" customHeight="1">
      <c r="A34" s="1"/>
      <c r="B34" s="1" t="s">
        <v>122</v>
      </c>
      <c r="C34" s="14">
        <f>IF(C13="Listo",INDEX('Quinta 2026'!$C$10:$N$10,1,C12),"n.a.")</f>
        <v>64814</v>
      </c>
      <c r="D34" s="1"/>
      <c r="E34" s="1" t="s">
        <v>123</v>
      </c>
      <c r="F34" s="27">
        <v>0.08</v>
      </c>
      <c r="G34" s="28">
        <v>5</v>
      </c>
    </row>
    <row r="35" spans="1:7" ht="25.95" customHeight="1">
      <c r="A35" s="1"/>
      <c r="B35" s="1" t="s">
        <v>124</v>
      </c>
      <c r="C35" s="14">
        <f>IF(C13="Listo",INDEX('Quinta 2026'!$C$11:$N$11,1,C12),"n.a.")</f>
        <v>38500</v>
      </c>
      <c r="D35" s="1"/>
      <c r="E35" s="1" t="s">
        <v>125</v>
      </c>
      <c r="F35" s="27">
        <v>0.14000000000000001</v>
      </c>
      <c r="G35" s="28">
        <v>15</v>
      </c>
    </row>
    <row r="36" spans="1:7" ht="25.95" customHeight="1">
      <c r="A36" s="1"/>
      <c r="B36" s="1" t="s">
        <v>126</v>
      </c>
      <c r="C36" s="14">
        <f>IF(C13="Listo",INDEX('Quinta 2026'!$C$12:$N$12,1,C12),"n.a.")</f>
        <v>26314</v>
      </c>
      <c r="D36" s="1"/>
      <c r="E36" s="1" t="s">
        <v>125</v>
      </c>
      <c r="F36" s="27">
        <v>0.17</v>
      </c>
      <c r="G36" s="28">
        <v>15</v>
      </c>
    </row>
    <row r="37" spans="1:7" ht="25.95" customHeight="1">
      <c r="A37" s="1"/>
      <c r="B37" s="1" t="s">
        <v>127</v>
      </c>
      <c r="C37" s="14">
        <f>IF(C13="Listo",INDEX('Quinta 2026'!$C$20:$N$20,1,C12),"n.a.")</f>
        <v>2105.12</v>
      </c>
      <c r="D37" s="1"/>
      <c r="E37" s="1" t="s">
        <v>128</v>
      </c>
      <c r="F37" s="27">
        <v>0.2</v>
      </c>
      <c r="G37" s="28">
        <v>10</v>
      </c>
    </row>
    <row r="38" spans="1:7" ht="25.95" customHeight="1">
      <c r="A38" s="1"/>
      <c r="B38" s="1" t="s">
        <v>129</v>
      </c>
      <c r="C38" s="14">
        <f>IF(C13="Listo",INDEX('Quinta 2026'!$C$23:$N$23,1,C12),"n.a.")</f>
        <v>1414.47</v>
      </c>
      <c r="D38" s="1"/>
      <c r="E38" s="1" t="s">
        <v>130</v>
      </c>
      <c r="F38" s="27">
        <v>0.3</v>
      </c>
      <c r="G38" s="1"/>
    </row>
    <row r="39" spans="1:7" ht="25.95" customHeight="1">
      <c r="A39" s="1"/>
      <c r="B39" s="1" t="s">
        <v>131</v>
      </c>
      <c r="C39" s="21">
        <f>IF(C13="Listo",INDEX('Quinta 2026'!$C$24:$N$24,1,C12),"n.a.")</f>
        <v>4</v>
      </c>
      <c r="D39" s="1"/>
      <c r="E39" s="1"/>
      <c r="F39" s="1"/>
      <c r="G39" s="1"/>
    </row>
    <row r="40" spans="1:7" ht="25.95" customHeight="1">
      <c r="A40" s="1"/>
      <c r="B40" s="1" t="s">
        <v>132</v>
      </c>
      <c r="C40" s="14">
        <f>IF(C13="Listo",INDEX('Quinta 2026'!$C$25:$N$25,1,C12),"n.a.")</f>
        <v>172.66</v>
      </c>
      <c r="D40" s="1"/>
      <c r="E40" s="6" t="s">
        <v>133</v>
      </c>
      <c r="F40" s="1"/>
      <c r="G40" s="1"/>
    </row>
    <row r="41" spans="1:7" ht="25.95" customHeight="1">
      <c r="A41" s="1"/>
      <c r="B41" s="1" t="s">
        <v>134</v>
      </c>
      <c r="C41" s="14">
        <f>IF(C13="Listo",INDEX('Quinta 2026'!$C$28:$N$28,1,C12),"n.a.")</f>
        <v>0</v>
      </c>
      <c r="D41" s="1"/>
      <c r="E41" s="6" t="s">
        <v>135</v>
      </c>
      <c r="F41" s="1"/>
      <c r="G41" s="1"/>
    </row>
    <row r="42" spans="1:7" ht="25.95" customHeight="1">
      <c r="A42" s="1"/>
      <c r="B42" s="23" t="s">
        <v>136</v>
      </c>
      <c r="C42" s="24">
        <f>IF(C13="Listo",INDEX('Quinta 2026'!$C$29:$N$29,1,C12),"n.a.")</f>
        <v>172.66</v>
      </c>
      <c r="D42" s="1"/>
      <c r="E42" s="1"/>
      <c r="F42" s="1"/>
      <c r="G42" s="1"/>
    </row>
    <row r="43" spans="1:7" ht="76.05" customHeight="1">
      <c r="A43" s="1"/>
      <c r="B43" s="1"/>
      <c r="C43" s="4"/>
      <c r="D43" s="1"/>
      <c r="E43" s="17" t="s">
        <v>137</v>
      </c>
      <c r="F43" s="1"/>
      <c r="G43" s="1"/>
    </row>
    <row r="44" spans="1:7" ht="76.05" customHeight="1">
      <c r="A44" s="1"/>
      <c r="B44" s="1"/>
      <c r="C44" s="4"/>
      <c r="D44" s="1"/>
      <c r="E44" s="17" t="s">
        <v>138</v>
      </c>
      <c r="F44" s="1"/>
      <c r="G44" s="1"/>
    </row>
    <row r="45" spans="1:7" ht="76.05" customHeight="1">
      <c r="A45" s="1"/>
      <c r="B45" s="6" t="s">
        <v>139</v>
      </c>
      <c r="C45" s="4"/>
      <c r="D45" s="1"/>
      <c r="E45" s="17" t="s">
        <v>140</v>
      </c>
      <c r="F45" s="1"/>
      <c r="G45" s="1"/>
    </row>
    <row r="46" spans="1:7" ht="76.05" customHeight="1">
      <c r="A46" s="1"/>
      <c r="B46" s="6" t="s">
        <v>141</v>
      </c>
      <c r="C46" s="4"/>
      <c r="D46" s="1"/>
      <c r="E46" s="17" t="s">
        <v>142</v>
      </c>
      <c r="F46" s="1"/>
      <c r="G46" s="1"/>
    </row>
    <row r="47" spans="1:7" ht="76.05" customHeight="1">
      <c r="A47" s="1"/>
      <c r="B47" s="1"/>
      <c r="C47" s="4"/>
      <c r="D47" s="1"/>
      <c r="E47" s="17" t="s">
        <v>143</v>
      </c>
      <c r="F47" s="1"/>
      <c r="G47" s="1"/>
    </row>
    <row r="48" spans="1:7" ht="76.05" customHeight="1">
      <c r="A48" s="1"/>
      <c r="B48" s="1"/>
      <c r="C48" s="4"/>
      <c r="D48" s="1"/>
      <c r="E48" s="17" t="s">
        <v>144</v>
      </c>
      <c r="F48" s="1"/>
      <c r="G48" s="1"/>
    </row>
    <row r="49" spans="1:7" ht="25.95" customHeight="1">
      <c r="A49" s="1"/>
      <c r="B49" s="1"/>
      <c r="C49" s="4"/>
      <c r="D49" s="1"/>
      <c r="E49" s="1"/>
      <c r="F49" s="1"/>
      <c r="G49" s="1"/>
    </row>
  </sheetData>
  <conditionalFormatting sqref="C13">
    <cfRule type="cellIs" dxfId="1" priority="1" operator="notEqual">
      <formula>"Listo"</formula>
    </cfRule>
  </conditionalFormatting>
  <dataValidations count="4">
    <dataValidation type="list" sqref="C8" xr:uid="{00000000-0002-0000-0200-000000000000}">
      <formula1>"Enero,Febrero,Marzo,Abril,Mayo,Junio,Julio,Agosto,Septiembre,Octubre,Noviembre,Diciembre"</formula1>
    </dataValidation>
    <dataValidation type="list" sqref="C9" xr:uid="{00000000-0002-0000-0200-000001000000}">
      <formula1>"ONP,AFP"</formula1>
    </dataValidation>
    <dataValidation type="list" sqref="C10" xr:uid="{00000000-0002-0000-0200-000002000000}">
      <formula1>"Habitat,Integra,Prima,Profuturo"</formula1>
    </dataValidation>
    <dataValidation type="list" sqref="C11" xr:uid="{00000000-0002-0000-0200-000003000000}">
      <formula1>"Flujo,Saldo"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6163"/>
  </sheetPr>
  <dimension ref="A1:N4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baseColWidth="10" defaultColWidth="8.796875" defaultRowHeight="13.8"/>
  <cols>
    <col min="1" max="1" width="3" customWidth="1"/>
    <col min="2" max="2" width="43.69921875" customWidth="1"/>
    <col min="3" max="14" width="16.19921875" customWidth="1"/>
  </cols>
  <sheetData>
    <row r="1" spans="1:14" ht="25.95" customHeight="1">
      <c r="A1" s="1"/>
      <c r="B1" s="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36" customHeight="1">
      <c r="A2" s="1"/>
      <c r="B2" s="2" t="s">
        <v>145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5.95" customHeight="1">
      <c r="A3" s="1"/>
      <c r="B3" s="6" t="s">
        <v>146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25.95" customHeight="1">
      <c r="A4" s="1"/>
      <c r="B4" s="1" t="s">
        <v>147</v>
      </c>
      <c r="C4" s="14">
        <f>N40</f>
        <v>2138.2399999999998</v>
      </c>
      <c r="D4" s="4"/>
      <c r="E4" s="4"/>
      <c r="F4" s="4" t="s">
        <v>148</v>
      </c>
      <c r="G4" s="14">
        <f>IF(Instructores!C13="Listo",ROUND(SUM(C29:N29),2),"n.a.")</f>
        <v>2138.2399999999998</v>
      </c>
      <c r="H4" s="4"/>
      <c r="I4" s="4"/>
      <c r="J4" s="4" t="s">
        <v>149</v>
      </c>
      <c r="K4" s="14">
        <f>IF(Instructores!C13="Listo",ROUND(C4-G4,2),"n.a.")</f>
        <v>0</v>
      </c>
      <c r="L4" s="4"/>
      <c r="M4" s="4"/>
      <c r="N4" s="4"/>
    </row>
    <row r="5" spans="1:14" ht="25.95" customHeight="1">
      <c r="A5" s="1"/>
      <c r="B5" s="1" t="s">
        <v>150</v>
      </c>
      <c r="C5" s="29">
        <v>1</v>
      </c>
      <c r="D5" s="29">
        <v>2</v>
      </c>
      <c r="E5" s="29">
        <v>3</v>
      </c>
      <c r="F5" s="29">
        <v>4</v>
      </c>
      <c r="G5" s="29">
        <v>5</v>
      </c>
      <c r="H5" s="29">
        <v>6</v>
      </c>
      <c r="I5" s="29">
        <v>7</v>
      </c>
      <c r="J5" s="29">
        <v>8</v>
      </c>
      <c r="K5" s="29">
        <v>9</v>
      </c>
      <c r="L5" s="29">
        <v>10</v>
      </c>
      <c r="M5" s="29">
        <v>11</v>
      </c>
      <c r="N5" s="29">
        <v>12</v>
      </c>
    </row>
    <row r="6" spans="1:14" ht="30" customHeight="1">
      <c r="A6" s="1"/>
      <c r="B6" s="30" t="s">
        <v>151</v>
      </c>
      <c r="C6" s="30" t="s">
        <v>152</v>
      </c>
      <c r="D6" s="30" t="s">
        <v>153</v>
      </c>
      <c r="E6" s="30" t="s">
        <v>154</v>
      </c>
      <c r="F6" s="30" t="s">
        <v>155</v>
      </c>
      <c r="G6" s="30" t="s">
        <v>156</v>
      </c>
      <c r="H6" s="30" t="s">
        <v>157</v>
      </c>
      <c r="I6" s="30" t="s">
        <v>158</v>
      </c>
      <c r="J6" s="30" t="s">
        <v>159</v>
      </c>
      <c r="K6" s="30" t="s">
        <v>160</v>
      </c>
      <c r="L6" s="30" t="s">
        <v>77</v>
      </c>
      <c r="M6" s="30" t="s">
        <v>161</v>
      </c>
      <c r="N6" s="30" t="s">
        <v>162</v>
      </c>
    </row>
    <row r="7" spans="1:14" ht="25.95" customHeight="1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25.95" customHeight="1">
      <c r="A8" s="1"/>
      <c r="B8" s="1" t="s">
        <v>163</v>
      </c>
      <c r="C8" s="14">
        <f>IF(Instructores!$C$13="Listo",Instructores!$C$16,"n.a.")</f>
        <v>4600</v>
      </c>
      <c r="D8" s="14">
        <f>IF(Instructores!$C$13="Listo",Instructores!$C$16,"n.a.")</f>
        <v>4600</v>
      </c>
      <c r="E8" s="14">
        <f>IF(Instructores!$C$13="Listo",Instructores!$C$16,"n.a.")</f>
        <v>4600</v>
      </c>
      <c r="F8" s="14">
        <f>IF(Instructores!$C$13="Listo",Instructores!$C$16,"n.a.")</f>
        <v>4600</v>
      </c>
      <c r="G8" s="14">
        <f>IF(Instructores!$C$13="Listo",Instructores!$C$16,"n.a.")</f>
        <v>4600</v>
      </c>
      <c r="H8" s="14">
        <f>IF(Instructores!$C$13="Listo",Instructores!$C$16,"n.a.")</f>
        <v>4600</v>
      </c>
      <c r="I8" s="14">
        <f>IF(Instructores!$C$13="Listo",Instructores!$C$16,"n.a.")</f>
        <v>4600</v>
      </c>
      <c r="J8" s="14">
        <f>IF(Instructores!$C$13="Listo",Instructores!$C$16,"n.a.")</f>
        <v>4600</v>
      </c>
      <c r="K8" s="14">
        <f>IF(Instructores!$C$13="Listo",Instructores!$C$16,"n.a.")</f>
        <v>4600</v>
      </c>
      <c r="L8" s="14">
        <f>IF(Instructores!$C$13="Listo",Instructores!$C$16,"n.a.")</f>
        <v>4600</v>
      </c>
      <c r="M8" s="14">
        <f>IF(Instructores!$C$13="Listo",Instructores!$C$16,"n.a.")</f>
        <v>4600</v>
      </c>
      <c r="N8" s="14">
        <f>IF(Instructores!$C$13="Listo",Instructores!$C$16,"n.a.")</f>
        <v>4600</v>
      </c>
    </row>
    <row r="9" spans="1:14" ht="25.95" customHeight="1">
      <c r="A9" s="1"/>
      <c r="B9" s="1" t="s">
        <v>164</v>
      </c>
      <c r="C9" s="14">
        <f>IF(ISNUMBER(C8),IF(C$5&gt;7,ROUND(C8*Instructores!$F$18,2),0),"n.a.")</f>
        <v>0</v>
      </c>
      <c r="D9" s="14">
        <f>IF(ISNUMBER(D8),IF(D$5&gt;7,ROUND(D8*Instructores!$F$18,2),0),"n.a.")</f>
        <v>0</v>
      </c>
      <c r="E9" s="14">
        <f>IF(ISNUMBER(E8),IF(E$5&gt;7,ROUND(E8*Instructores!$F$18,2),0),"n.a.")</f>
        <v>0</v>
      </c>
      <c r="F9" s="14">
        <f>IF(ISNUMBER(F8),IF(F$5&gt;7,ROUND(F8*Instructores!$F$18,2),0),"n.a.")</f>
        <v>0</v>
      </c>
      <c r="G9" s="14">
        <f>IF(ISNUMBER(G8),IF(G$5&gt;7,ROUND(G8*Instructores!$F$18,2),0),"n.a.")</f>
        <v>0</v>
      </c>
      <c r="H9" s="14">
        <f>IF(ISNUMBER(H8),IF(H$5&gt;7,ROUND(H8*Instructores!$F$18,2),0),"n.a.")</f>
        <v>0</v>
      </c>
      <c r="I9" s="14">
        <f>IF(ISNUMBER(I8),IF(I$5&gt;7,ROUND(I8*Instructores!$F$18,2),0),"n.a.")</f>
        <v>0</v>
      </c>
      <c r="J9" s="14">
        <f>IF(ISNUMBER(J8),IF(J$5&gt;7,ROUND(J8*Instructores!$F$18,2),0),"n.a.")</f>
        <v>414</v>
      </c>
      <c r="K9" s="14">
        <f>IF(ISNUMBER(K8),IF(K$5&gt;7,ROUND(K8*Instructores!$F$18,2),0),"n.a.")</f>
        <v>414</v>
      </c>
      <c r="L9" s="14">
        <f>IF(ISNUMBER(L8),IF(L$5&gt;7,ROUND(L8*Instructores!$F$18,2),0),"n.a.")</f>
        <v>414</v>
      </c>
      <c r="M9" s="14">
        <f>IF(ISNUMBER(M8),IF(M$5&gt;7,ROUND(M8*Instructores!$F$18,2),0),"n.a.")</f>
        <v>414</v>
      </c>
      <c r="N9" s="14">
        <f>IF(ISNUMBER(N8),IF(N$5&gt;7,ROUND(N8*Instructores!$F$18,2),0),"n.a.")</f>
        <v>414</v>
      </c>
    </row>
    <row r="10" spans="1:14" ht="25.95" customHeight="1">
      <c r="A10" s="1"/>
      <c r="B10" s="1" t="s">
        <v>165</v>
      </c>
      <c r="C10" s="14">
        <f>IF(ISNUMBER(C8),C8*Instructores!$F$20+C9,"n.a.")</f>
        <v>64400</v>
      </c>
      <c r="D10" s="14">
        <f>IF(ISNUMBER(D8),D8*Instructores!$F$20+D9,"n.a.")</f>
        <v>64400</v>
      </c>
      <c r="E10" s="14">
        <f>IF(ISNUMBER(E8),E8*Instructores!$F$20+E9,"n.a.")</f>
        <v>64400</v>
      </c>
      <c r="F10" s="14">
        <f>IF(ISNUMBER(F8),F8*Instructores!$F$20+F9,"n.a.")</f>
        <v>64400</v>
      </c>
      <c r="G10" s="14">
        <f>IF(ISNUMBER(G8),G8*Instructores!$F$20+G9,"n.a.")</f>
        <v>64400</v>
      </c>
      <c r="H10" s="14">
        <f>IF(ISNUMBER(H8),H8*Instructores!$F$20+H9,"n.a.")</f>
        <v>64400</v>
      </c>
      <c r="I10" s="14">
        <f>IF(ISNUMBER(I8),I8*Instructores!$F$20+I9,"n.a.")</f>
        <v>64400</v>
      </c>
      <c r="J10" s="14">
        <f>IF(ISNUMBER(J8),J8*Instructores!$F$20+J9,"n.a.")</f>
        <v>64814</v>
      </c>
      <c r="K10" s="14">
        <f>IF(ISNUMBER(K8),K8*Instructores!$F$20+K9,"n.a.")</f>
        <v>64814</v>
      </c>
      <c r="L10" s="14">
        <f>IF(ISNUMBER(L8),L8*Instructores!$F$20+L9,"n.a.")</f>
        <v>64814</v>
      </c>
      <c r="M10" s="14">
        <f>IF(ISNUMBER(M8),M8*Instructores!$F$20+M9,"n.a.")</f>
        <v>64814</v>
      </c>
      <c r="N10" s="14">
        <f>IF(ISNUMBER(N8),N8*Instructores!$F$20+N9,"n.a.")</f>
        <v>64814</v>
      </c>
    </row>
    <row r="11" spans="1:14" ht="25.95" customHeight="1">
      <c r="A11" s="1"/>
      <c r="B11" s="1" t="s">
        <v>124</v>
      </c>
      <c r="C11" s="14">
        <f>IF(ISNUMBER(C8),Instructores!$F$10*Instructores!$F$11,"n.a.")</f>
        <v>38500</v>
      </c>
      <c r="D11" s="14">
        <f>IF(ISNUMBER(D8),Instructores!$F$10*Instructores!$F$11,"n.a.")</f>
        <v>38500</v>
      </c>
      <c r="E11" s="14">
        <f>IF(ISNUMBER(E8),Instructores!$F$10*Instructores!$F$11,"n.a.")</f>
        <v>38500</v>
      </c>
      <c r="F11" s="14">
        <f>IF(ISNUMBER(F8),Instructores!$F$10*Instructores!$F$11,"n.a.")</f>
        <v>38500</v>
      </c>
      <c r="G11" s="14">
        <f>IF(ISNUMBER(G8),Instructores!$F$10*Instructores!$F$11,"n.a.")</f>
        <v>38500</v>
      </c>
      <c r="H11" s="14">
        <f>IF(ISNUMBER(H8),Instructores!$F$10*Instructores!$F$11,"n.a.")</f>
        <v>38500</v>
      </c>
      <c r="I11" s="14">
        <f>IF(ISNUMBER(I8),Instructores!$F$10*Instructores!$F$11,"n.a.")</f>
        <v>38500</v>
      </c>
      <c r="J11" s="14">
        <f>IF(ISNUMBER(J8),Instructores!$F$10*Instructores!$F$11,"n.a.")</f>
        <v>38500</v>
      </c>
      <c r="K11" s="14">
        <f>IF(ISNUMBER(K8),Instructores!$F$10*Instructores!$F$11,"n.a.")</f>
        <v>38500</v>
      </c>
      <c r="L11" s="14">
        <f>IF(ISNUMBER(L8),Instructores!$F$10*Instructores!$F$11,"n.a.")</f>
        <v>38500</v>
      </c>
      <c r="M11" s="14">
        <f>IF(ISNUMBER(M8),Instructores!$F$10*Instructores!$F$11,"n.a.")</f>
        <v>38500</v>
      </c>
      <c r="N11" s="14">
        <f>IF(ISNUMBER(N8),Instructores!$F$10*Instructores!$F$11,"n.a.")</f>
        <v>38500</v>
      </c>
    </row>
    <row r="12" spans="1:14" ht="25.95" customHeight="1">
      <c r="A12" s="1"/>
      <c r="B12" s="1" t="s">
        <v>126</v>
      </c>
      <c r="C12" s="14">
        <f t="shared" ref="C12:N12" si="0">IF(ISNUMBER(C8),MAX(0,C10-C11),"n.a.")</f>
        <v>25900</v>
      </c>
      <c r="D12" s="14">
        <f t="shared" si="0"/>
        <v>25900</v>
      </c>
      <c r="E12" s="14">
        <f t="shared" si="0"/>
        <v>25900</v>
      </c>
      <c r="F12" s="14">
        <f t="shared" si="0"/>
        <v>25900</v>
      </c>
      <c r="G12" s="14">
        <f t="shared" si="0"/>
        <v>25900</v>
      </c>
      <c r="H12" s="14">
        <f t="shared" si="0"/>
        <v>25900</v>
      </c>
      <c r="I12" s="14">
        <f t="shared" si="0"/>
        <v>25900</v>
      </c>
      <c r="J12" s="14">
        <f t="shared" si="0"/>
        <v>26314</v>
      </c>
      <c r="K12" s="14">
        <f t="shared" si="0"/>
        <v>26314</v>
      </c>
      <c r="L12" s="14">
        <f t="shared" si="0"/>
        <v>26314</v>
      </c>
      <c r="M12" s="14">
        <f t="shared" si="0"/>
        <v>26314</v>
      </c>
      <c r="N12" s="14">
        <f t="shared" si="0"/>
        <v>26314</v>
      </c>
    </row>
    <row r="13" spans="1:14" ht="25.95" customHeight="1">
      <c r="A13" s="1"/>
      <c r="B13" s="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28.05" customHeight="1">
      <c r="A14" s="1"/>
      <c r="B14" s="9" t="s">
        <v>166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25.95" customHeight="1">
      <c r="A15" s="1"/>
      <c r="B15" s="1" t="s">
        <v>167</v>
      </c>
      <c r="C15" s="14">
        <f>IF(ISNUMBER(C8),MAX(0,MIN(C12-0,Instructores!$G$34*Instructores!$F$10))*Instructores!$F$34,"n.a.")</f>
        <v>2072</v>
      </c>
      <c r="D15" s="14">
        <f>IF(ISNUMBER(D8),MAX(0,MIN(D12-0,Instructores!$G$34*Instructores!$F$10))*Instructores!$F$34,"n.a.")</f>
        <v>2072</v>
      </c>
      <c r="E15" s="14">
        <f>IF(ISNUMBER(E8),MAX(0,MIN(E12-0,Instructores!$G$34*Instructores!$F$10))*Instructores!$F$34,"n.a.")</f>
        <v>2072</v>
      </c>
      <c r="F15" s="14">
        <f>IF(ISNUMBER(F8),MAX(0,MIN(F12-0,Instructores!$G$34*Instructores!$F$10))*Instructores!$F$34,"n.a.")</f>
        <v>2072</v>
      </c>
      <c r="G15" s="14">
        <f>IF(ISNUMBER(G8),MAX(0,MIN(G12-0,Instructores!$G$34*Instructores!$F$10))*Instructores!$F$34,"n.a.")</f>
        <v>2072</v>
      </c>
      <c r="H15" s="14">
        <f>IF(ISNUMBER(H8),MAX(0,MIN(H12-0,Instructores!$G$34*Instructores!$F$10))*Instructores!$F$34,"n.a.")</f>
        <v>2072</v>
      </c>
      <c r="I15" s="14">
        <f>IF(ISNUMBER(I8),MAX(0,MIN(I12-0,Instructores!$G$34*Instructores!$F$10))*Instructores!$F$34,"n.a.")</f>
        <v>2072</v>
      </c>
      <c r="J15" s="14">
        <f>IF(ISNUMBER(J8),MAX(0,MIN(J12-0,Instructores!$G$34*Instructores!$F$10))*Instructores!$F$34,"n.a.")</f>
        <v>2105.12</v>
      </c>
      <c r="K15" s="14">
        <f>IF(ISNUMBER(K8),MAX(0,MIN(K12-0,Instructores!$G$34*Instructores!$F$10))*Instructores!$F$34,"n.a.")</f>
        <v>2105.12</v>
      </c>
      <c r="L15" s="14">
        <f>IF(ISNUMBER(L8),MAX(0,MIN(L12-0,Instructores!$G$34*Instructores!$F$10))*Instructores!$F$34,"n.a.")</f>
        <v>2105.12</v>
      </c>
      <c r="M15" s="14">
        <f>IF(ISNUMBER(M8),MAX(0,MIN(M12-0,Instructores!$G$34*Instructores!$F$10))*Instructores!$F$34,"n.a.")</f>
        <v>2105.12</v>
      </c>
      <c r="N15" s="14">
        <f>IF(ISNUMBER(N8),MAX(0,MIN(N12-0,Instructores!$G$34*Instructores!$F$10))*Instructores!$F$34,"n.a.")</f>
        <v>2105.12</v>
      </c>
    </row>
    <row r="16" spans="1:14" ht="25.95" customHeight="1">
      <c r="A16" s="1"/>
      <c r="B16" s="1" t="s">
        <v>168</v>
      </c>
      <c r="C16" s="14">
        <f>IF(ISNUMBER(C8),MAX(0,MIN(C12-SUM(Instructores!$G$34:$G$34)*Instructores!$F$10,Instructores!$G$35*Instructores!$F$10))*Instructores!$F$35,"n.a.")</f>
        <v>0</v>
      </c>
      <c r="D16" s="14">
        <f>IF(ISNUMBER(D8),MAX(0,MIN(D12-SUM(Instructores!$G$34:$G$34)*Instructores!$F$10,Instructores!$G$35*Instructores!$F$10))*Instructores!$F$35,"n.a.")</f>
        <v>0</v>
      </c>
      <c r="E16" s="14">
        <f>IF(ISNUMBER(E8),MAX(0,MIN(E12-SUM(Instructores!$G$34:$G$34)*Instructores!$F$10,Instructores!$G$35*Instructores!$F$10))*Instructores!$F$35,"n.a.")</f>
        <v>0</v>
      </c>
      <c r="F16" s="14">
        <f>IF(ISNUMBER(F8),MAX(0,MIN(F12-SUM(Instructores!$G$34:$G$34)*Instructores!$F$10,Instructores!$G$35*Instructores!$F$10))*Instructores!$F$35,"n.a.")</f>
        <v>0</v>
      </c>
      <c r="G16" s="14">
        <f>IF(ISNUMBER(G8),MAX(0,MIN(G12-SUM(Instructores!$G$34:$G$34)*Instructores!$F$10,Instructores!$G$35*Instructores!$F$10))*Instructores!$F$35,"n.a.")</f>
        <v>0</v>
      </c>
      <c r="H16" s="14">
        <f>IF(ISNUMBER(H8),MAX(0,MIN(H12-SUM(Instructores!$G$34:$G$34)*Instructores!$F$10,Instructores!$G$35*Instructores!$F$10))*Instructores!$F$35,"n.a.")</f>
        <v>0</v>
      </c>
      <c r="I16" s="14">
        <f>IF(ISNUMBER(I8),MAX(0,MIN(I12-SUM(Instructores!$G$34:$G$34)*Instructores!$F$10,Instructores!$G$35*Instructores!$F$10))*Instructores!$F$35,"n.a.")</f>
        <v>0</v>
      </c>
      <c r="J16" s="14">
        <f>IF(ISNUMBER(J8),MAX(0,MIN(J12-SUM(Instructores!$G$34:$G$34)*Instructores!$F$10,Instructores!$G$35*Instructores!$F$10))*Instructores!$F$35,"n.a.")</f>
        <v>0</v>
      </c>
      <c r="K16" s="14">
        <f>IF(ISNUMBER(K8),MAX(0,MIN(K12-SUM(Instructores!$G$34:$G$34)*Instructores!$F$10,Instructores!$G$35*Instructores!$F$10))*Instructores!$F$35,"n.a.")</f>
        <v>0</v>
      </c>
      <c r="L16" s="14">
        <f>IF(ISNUMBER(L8),MAX(0,MIN(L12-SUM(Instructores!$G$34:$G$34)*Instructores!$F$10,Instructores!$G$35*Instructores!$F$10))*Instructores!$F$35,"n.a.")</f>
        <v>0</v>
      </c>
      <c r="M16" s="14">
        <f>IF(ISNUMBER(M8),MAX(0,MIN(M12-SUM(Instructores!$G$34:$G$34)*Instructores!$F$10,Instructores!$G$35*Instructores!$F$10))*Instructores!$F$35,"n.a.")</f>
        <v>0</v>
      </c>
      <c r="N16" s="14">
        <f>IF(ISNUMBER(N8),MAX(0,MIN(N12-SUM(Instructores!$G$34:$G$34)*Instructores!$F$10,Instructores!$G$35*Instructores!$F$10))*Instructores!$F$35,"n.a.")</f>
        <v>0</v>
      </c>
    </row>
    <row r="17" spans="1:14" ht="25.95" customHeight="1">
      <c r="A17" s="1"/>
      <c r="B17" s="1" t="s">
        <v>169</v>
      </c>
      <c r="C17" s="14">
        <f>IF(ISNUMBER(C8),MAX(0,MIN(C12-SUM(Instructores!$G$34:$G$35)*Instructores!$F$10,Instructores!$G$36*Instructores!$F$10))*Instructores!$F$36,"n.a.")</f>
        <v>0</v>
      </c>
      <c r="D17" s="14">
        <f>IF(ISNUMBER(D8),MAX(0,MIN(D12-SUM(Instructores!$G$34:$G$35)*Instructores!$F$10,Instructores!$G$36*Instructores!$F$10))*Instructores!$F$36,"n.a.")</f>
        <v>0</v>
      </c>
      <c r="E17" s="14">
        <f>IF(ISNUMBER(E8),MAX(0,MIN(E12-SUM(Instructores!$G$34:$G$35)*Instructores!$F$10,Instructores!$G$36*Instructores!$F$10))*Instructores!$F$36,"n.a.")</f>
        <v>0</v>
      </c>
      <c r="F17" s="14">
        <f>IF(ISNUMBER(F8),MAX(0,MIN(F12-SUM(Instructores!$G$34:$G$35)*Instructores!$F$10,Instructores!$G$36*Instructores!$F$10))*Instructores!$F$36,"n.a.")</f>
        <v>0</v>
      </c>
      <c r="G17" s="14">
        <f>IF(ISNUMBER(G8),MAX(0,MIN(G12-SUM(Instructores!$G$34:$G$35)*Instructores!$F$10,Instructores!$G$36*Instructores!$F$10))*Instructores!$F$36,"n.a.")</f>
        <v>0</v>
      </c>
      <c r="H17" s="14">
        <f>IF(ISNUMBER(H8),MAX(0,MIN(H12-SUM(Instructores!$G$34:$G$35)*Instructores!$F$10,Instructores!$G$36*Instructores!$F$10))*Instructores!$F$36,"n.a.")</f>
        <v>0</v>
      </c>
      <c r="I17" s="14">
        <f>IF(ISNUMBER(I8),MAX(0,MIN(I12-SUM(Instructores!$G$34:$G$35)*Instructores!$F$10,Instructores!$G$36*Instructores!$F$10))*Instructores!$F$36,"n.a.")</f>
        <v>0</v>
      </c>
      <c r="J17" s="14">
        <f>IF(ISNUMBER(J8),MAX(0,MIN(J12-SUM(Instructores!$G$34:$G$35)*Instructores!$F$10,Instructores!$G$36*Instructores!$F$10))*Instructores!$F$36,"n.a.")</f>
        <v>0</v>
      </c>
      <c r="K17" s="14">
        <f>IF(ISNUMBER(K8),MAX(0,MIN(K12-SUM(Instructores!$G$34:$G$35)*Instructores!$F$10,Instructores!$G$36*Instructores!$F$10))*Instructores!$F$36,"n.a.")</f>
        <v>0</v>
      </c>
      <c r="L17" s="14">
        <f>IF(ISNUMBER(L8),MAX(0,MIN(L12-SUM(Instructores!$G$34:$G$35)*Instructores!$F$10,Instructores!$G$36*Instructores!$F$10))*Instructores!$F$36,"n.a.")</f>
        <v>0</v>
      </c>
      <c r="M17" s="14">
        <f>IF(ISNUMBER(M8),MAX(0,MIN(M12-SUM(Instructores!$G$34:$G$35)*Instructores!$F$10,Instructores!$G$36*Instructores!$F$10))*Instructores!$F$36,"n.a.")</f>
        <v>0</v>
      </c>
      <c r="N17" s="14">
        <f>IF(ISNUMBER(N8),MAX(0,MIN(N12-SUM(Instructores!$G$34:$G$35)*Instructores!$F$10,Instructores!$G$36*Instructores!$F$10))*Instructores!$F$36,"n.a.")</f>
        <v>0</v>
      </c>
    </row>
    <row r="18" spans="1:14" ht="25.95" customHeight="1">
      <c r="A18" s="1"/>
      <c r="B18" s="1" t="s">
        <v>170</v>
      </c>
      <c r="C18" s="14">
        <f>IF(ISNUMBER(C8),MAX(0,MIN(C12-SUM(Instructores!$G$34:$G$36)*Instructores!$F$10,Instructores!$G$37*Instructores!$F$10))*Instructores!$F$37,"n.a.")</f>
        <v>0</v>
      </c>
      <c r="D18" s="14">
        <f>IF(ISNUMBER(D8),MAX(0,MIN(D12-SUM(Instructores!$G$34:$G$36)*Instructores!$F$10,Instructores!$G$37*Instructores!$F$10))*Instructores!$F$37,"n.a.")</f>
        <v>0</v>
      </c>
      <c r="E18" s="14">
        <f>IF(ISNUMBER(E8),MAX(0,MIN(E12-SUM(Instructores!$G$34:$G$36)*Instructores!$F$10,Instructores!$G$37*Instructores!$F$10))*Instructores!$F$37,"n.a.")</f>
        <v>0</v>
      </c>
      <c r="F18" s="14">
        <f>IF(ISNUMBER(F8),MAX(0,MIN(F12-SUM(Instructores!$G$34:$G$36)*Instructores!$F$10,Instructores!$G$37*Instructores!$F$10))*Instructores!$F$37,"n.a.")</f>
        <v>0</v>
      </c>
      <c r="G18" s="14">
        <f>IF(ISNUMBER(G8),MAX(0,MIN(G12-SUM(Instructores!$G$34:$G$36)*Instructores!$F$10,Instructores!$G$37*Instructores!$F$10))*Instructores!$F$37,"n.a.")</f>
        <v>0</v>
      </c>
      <c r="H18" s="14">
        <f>IF(ISNUMBER(H8),MAX(0,MIN(H12-SUM(Instructores!$G$34:$G$36)*Instructores!$F$10,Instructores!$G$37*Instructores!$F$10))*Instructores!$F$37,"n.a.")</f>
        <v>0</v>
      </c>
      <c r="I18" s="14">
        <f>IF(ISNUMBER(I8),MAX(0,MIN(I12-SUM(Instructores!$G$34:$G$36)*Instructores!$F$10,Instructores!$G$37*Instructores!$F$10))*Instructores!$F$37,"n.a.")</f>
        <v>0</v>
      </c>
      <c r="J18" s="14">
        <f>IF(ISNUMBER(J8),MAX(0,MIN(J12-SUM(Instructores!$G$34:$G$36)*Instructores!$F$10,Instructores!$G$37*Instructores!$F$10))*Instructores!$F$37,"n.a.")</f>
        <v>0</v>
      </c>
      <c r="K18" s="14">
        <f>IF(ISNUMBER(K8),MAX(0,MIN(K12-SUM(Instructores!$G$34:$G$36)*Instructores!$F$10,Instructores!$G$37*Instructores!$F$10))*Instructores!$F$37,"n.a.")</f>
        <v>0</v>
      </c>
      <c r="L18" s="14">
        <f>IF(ISNUMBER(L8),MAX(0,MIN(L12-SUM(Instructores!$G$34:$G$36)*Instructores!$F$10,Instructores!$G$37*Instructores!$F$10))*Instructores!$F$37,"n.a.")</f>
        <v>0</v>
      </c>
      <c r="M18" s="14">
        <f>IF(ISNUMBER(M8),MAX(0,MIN(M12-SUM(Instructores!$G$34:$G$36)*Instructores!$F$10,Instructores!$G$37*Instructores!$F$10))*Instructores!$F$37,"n.a.")</f>
        <v>0</v>
      </c>
      <c r="N18" s="14">
        <f>IF(ISNUMBER(N8),MAX(0,MIN(N12-SUM(Instructores!$G$34:$G$36)*Instructores!$F$10,Instructores!$G$37*Instructores!$F$10))*Instructores!$F$37,"n.a.")</f>
        <v>0</v>
      </c>
    </row>
    <row r="19" spans="1:14" ht="25.95" customHeight="1">
      <c r="A19" s="1"/>
      <c r="B19" s="1" t="s">
        <v>171</v>
      </c>
      <c r="C19" s="14">
        <f>IF(ISNUMBER(C8),MAX(0,C12-SUM(Instructores!$G$34:$G$37)*Instructores!$F$10)*Instructores!$F$38,"n.a.")</f>
        <v>0</v>
      </c>
      <c r="D19" s="14">
        <f>IF(ISNUMBER(D8),MAX(0,D12-SUM(Instructores!$G$34:$G$37)*Instructores!$F$10)*Instructores!$F$38,"n.a.")</f>
        <v>0</v>
      </c>
      <c r="E19" s="14">
        <f>IF(ISNUMBER(E8),MAX(0,E12-SUM(Instructores!$G$34:$G$37)*Instructores!$F$10)*Instructores!$F$38,"n.a.")</f>
        <v>0</v>
      </c>
      <c r="F19" s="14">
        <f>IF(ISNUMBER(F8),MAX(0,F12-SUM(Instructores!$G$34:$G$37)*Instructores!$F$10)*Instructores!$F$38,"n.a.")</f>
        <v>0</v>
      </c>
      <c r="G19" s="14">
        <f>IF(ISNUMBER(G8),MAX(0,G12-SUM(Instructores!$G$34:$G$37)*Instructores!$F$10)*Instructores!$F$38,"n.a.")</f>
        <v>0</v>
      </c>
      <c r="H19" s="14">
        <f>IF(ISNUMBER(H8),MAX(0,H12-SUM(Instructores!$G$34:$G$37)*Instructores!$F$10)*Instructores!$F$38,"n.a.")</f>
        <v>0</v>
      </c>
      <c r="I19" s="14">
        <f>IF(ISNUMBER(I8),MAX(0,I12-SUM(Instructores!$G$34:$G$37)*Instructores!$F$10)*Instructores!$F$38,"n.a.")</f>
        <v>0</v>
      </c>
      <c r="J19" s="14">
        <f>IF(ISNUMBER(J8),MAX(0,J12-SUM(Instructores!$G$34:$G$37)*Instructores!$F$10)*Instructores!$F$38,"n.a.")</f>
        <v>0</v>
      </c>
      <c r="K19" s="14">
        <f>IF(ISNUMBER(K8),MAX(0,K12-SUM(Instructores!$G$34:$G$37)*Instructores!$F$10)*Instructores!$F$38,"n.a.")</f>
        <v>0</v>
      </c>
      <c r="L19" s="14">
        <f>IF(ISNUMBER(L8),MAX(0,L12-SUM(Instructores!$G$34:$G$37)*Instructores!$F$10)*Instructores!$F$38,"n.a.")</f>
        <v>0</v>
      </c>
      <c r="M19" s="14">
        <f>IF(ISNUMBER(M8),MAX(0,M12-SUM(Instructores!$G$34:$G$37)*Instructores!$F$10)*Instructores!$F$38,"n.a.")</f>
        <v>0</v>
      </c>
      <c r="N19" s="14">
        <f>IF(ISNUMBER(N8),MAX(0,N12-SUM(Instructores!$G$34:$G$37)*Instructores!$F$10)*Instructores!$F$38,"n.a.")</f>
        <v>0</v>
      </c>
    </row>
    <row r="20" spans="1:14" ht="25.95" customHeight="1">
      <c r="A20" s="1"/>
      <c r="B20" s="23" t="s">
        <v>172</v>
      </c>
      <c r="C20" s="24">
        <f t="shared" ref="C20:N20" si="1">IF(ISNUMBER(C8),ROUND(SUM(C15:C19),2),"n.a.")</f>
        <v>2072</v>
      </c>
      <c r="D20" s="24">
        <f t="shared" si="1"/>
        <v>2072</v>
      </c>
      <c r="E20" s="24">
        <f t="shared" si="1"/>
        <v>2072</v>
      </c>
      <c r="F20" s="24">
        <f t="shared" si="1"/>
        <v>2072</v>
      </c>
      <c r="G20" s="24">
        <f t="shared" si="1"/>
        <v>2072</v>
      </c>
      <c r="H20" s="24">
        <f t="shared" si="1"/>
        <v>2072</v>
      </c>
      <c r="I20" s="24">
        <f t="shared" si="1"/>
        <v>2072</v>
      </c>
      <c r="J20" s="24">
        <f t="shared" si="1"/>
        <v>2105.12</v>
      </c>
      <c r="K20" s="24">
        <f t="shared" si="1"/>
        <v>2105.12</v>
      </c>
      <c r="L20" s="24">
        <f t="shared" si="1"/>
        <v>2105.12</v>
      </c>
      <c r="M20" s="24">
        <f t="shared" si="1"/>
        <v>2105.12</v>
      </c>
      <c r="N20" s="24">
        <f t="shared" si="1"/>
        <v>2105.12</v>
      </c>
    </row>
    <row r="21" spans="1:14" ht="25.95" customHeight="1">
      <c r="A21" s="1"/>
      <c r="B21" s="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28.05" customHeight="1">
      <c r="A22" s="1"/>
      <c r="B22" s="9" t="s">
        <v>173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25.95" customHeight="1">
      <c r="A23" s="1"/>
      <c r="B23" s="1" t="s">
        <v>129</v>
      </c>
      <c r="C23" s="14">
        <f>IF(ISNUMBER(C8),0,"n.a.")</f>
        <v>0</v>
      </c>
      <c r="D23" s="14">
        <f>IF(ISNUMBER(D8),0,"n.a.")</f>
        <v>0</v>
      </c>
      <c r="E23" s="14">
        <f>IF(ISNUMBER(E8),0,"n.a.")</f>
        <v>0</v>
      </c>
      <c r="F23" s="14">
        <f>IF(ISNUMBER(F8),ROUND(SUM($C$29:$E$29),2),"n.a.")</f>
        <v>518.01</v>
      </c>
      <c r="G23" s="14">
        <f>IF(ISNUMBER(G8),ROUND(SUM($C$29:$F$29),2),"n.a.")</f>
        <v>690.68</v>
      </c>
      <c r="H23" s="14">
        <f>IF(ISNUMBER(H8),ROUND(SUM($C$29:$F$29),2),"n.a.")</f>
        <v>690.68</v>
      </c>
      <c r="I23" s="14">
        <f>IF(ISNUMBER(I8),ROUND(SUM($C$29:$F$29),2),"n.a.")</f>
        <v>690.68</v>
      </c>
      <c r="J23" s="14">
        <f>IF(ISNUMBER(J8),ROUND(SUM($C$29:$I$29),2),"n.a.")</f>
        <v>1241.81</v>
      </c>
      <c r="K23" s="14">
        <f>IF(ISNUMBER(K8),ROUND(SUM($C$29:$J$29),2),"n.a.")</f>
        <v>1414.47</v>
      </c>
      <c r="L23" s="14">
        <f>IF(ISNUMBER(L8),ROUND(SUM($C$29:$J$29),2),"n.a.")</f>
        <v>1414.47</v>
      </c>
      <c r="M23" s="14">
        <f>IF(ISNUMBER(M8),ROUND(SUM($C$29:$J$29),2),"n.a.")</f>
        <v>1414.47</v>
      </c>
      <c r="N23" s="14">
        <f>IF(ISNUMBER(N8),ROUND(SUM($C$29:$M$29),2),"n.a.")</f>
        <v>1932.45</v>
      </c>
    </row>
    <row r="24" spans="1:14" ht="25.95" customHeight="1">
      <c r="A24" s="1"/>
      <c r="B24" s="1" t="s">
        <v>131</v>
      </c>
      <c r="C24" s="4">
        <v>12</v>
      </c>
      <c r="D24" s="4">
        <v>12</v>
      </c>
      <c r="E24" s="4">
        <v>12</v>
      </c>
      <c r="F24" s="4">
        <v>9</v>
      </c>
      <c r="G24" s="4">
        <v>8</v>
      </c>
      <c r="H24" s="4">
        <v>8</v>
      </c>
      <c r="I24" s="4">
        <v>8</v>
      </c>
      <c r="J24" s="4">
        <v>5</v>
      </c>
      <c r="K24" s="4">
        <v>4</v>
      </c>
      <c r="L24" s="4">
        <v>4</v>
      </c>
      <c r="M24" s="4">
        <v>4</v>
      </c>
      <c r="N24" s="4">
        <v>1</v>
      </c>
    </row>
    <row r="25" spans="1:14" ht="25.95" customHeight="1">
      <c r="A25" s="1"/>
      <c r="B25" s="1" t="s">
        <v>174</v>
      </c>
      <c r="C25" s="14">
        <f t="shared" ref="C25:N25" si="2">IF(ISNUMBER(C8),ROUND(MAX(0,C20-C23)/C24,2),"n.a.")</f>
        <v>172.67</v>
      </c>
      <c r="D25" s="14">
        <f t="shared" si="2"/>
        <v>172.67</v>
      </c>
      <c r="E25" s="14">
        <f t="shared" si="2"/>
        <v>172.67</v>
      </c>
      <c r="F25" s="14">
        <f t="shared" si="2"/>
        <v>172.67</v>
      </c>
      <c r="G25" s="14">
        <f t="shared" si="2"/>
        <v>172.67</v>
      </c>
      <c r="H25" s="14">
        <f t="shared" si="2"/>
        <v>172.67</v>
      </c>
      <c r="I25" s="14">
        <f t="shared" si="2"/>
        <v>172.67</v>
      </c>
      <c r="J25" s="14">
        <f t="shared" si="2"/>
        <v>172.66</v>
      </c>
      <c r="K25" s="14">
        <f t="shared" si="2"/>
        <v>172.66</v>
      </c>
      <c r="L25" s="14">
        <f t="shared" si="2"/>
        <v>172.66</v>
      </c>
      <c r="M25" s="14">
        <f t="shared" si="2"/>
        <v>172.66</v>
      </c>
      <c r="N25" s="14">
        <f t="shared" si="2"/>
        <v>172.67</v>
      </c>
    </row>
    <row r="26" spans="1:14" ht="25.95" customHeight="1">
      <c r="A26" s="1"/>
      <c r="B26" s="1" t="s">
        <v>175</v>
      </c>
      <c r="C26" s="14">
        <f>IF(ISNUMBER(C8),IF(OR(C$5=7,C$5=12),ROUND(C8*Instructores!$F$18,2),0),"n.a.")</f>
        <v>0</v>
      </c>
      <c r="D26" s="14">
        <f>IF(ISNUMBER(D8),IF(OR(D$5=7,D$5=12),ROUND(D8*Instructores!$F$18,2),0),"n.a.")</f>
        <v>0</v>
      </c>
      <c r="E26" s="14">
        <f>IF(ISNUMBER(E8),IF(OR(E$5=7,E$5=12),ROUND(E8*Instructores!$F$18,2),0),"n.a.")</f>
        <v>0</v>
      </c>
      <c r="F26" s="14">
        <f>IF(ISNUMBER(F8),IF(OR(F$5=7,F$5=12),ROUND(F8*Instructores!$F$18,2),0),"n.a.")</f>
        <v>0</v>
      </c>
      <c r="G26" s="14">
        <f>IF(ISNUMBER(G8),IF(OR(G$5=7,G$5=12),ROUND(G8*Instructores!$F$18,2),0),"n.a.")</f>
        <v>0</v>
      </c>
      <c r="H26" s="14">
        <f>IF(ISNUMBER(H8),IF(OR(H$5=7,H$5=12),ROUND(H8*Instructores!$F$18,2),0),"n.a.")</f>
        <v>0</v>
      </c>
      <c r="I26" s="14">
        <f>IF(ISNUMBER(I8),IF(OR(I$5=7,I$5=12),ROUND(I8*Instructores!$F$18,2),0),"n.a.")</f>
        <v>414</v>
      </c>
      <c r="J26" s="14">
        <f>IF(ISNUMBER(J8),IF(OR(J$5=7,J$5=12),ROUND(J8*Instructores!$F$18,2),0),"n.a.")</f>
        <v>0</v>
      </c>
      <c r="K26" s="14">
        <f>IF(ISNUMBER(K8),IF(OR(K$5=7,K$5=12),ROUND(K8*Instructores!$F$18,2),0),"n.a.")</f>
        <v>0</v>
      </c>
      <c r="L26" s="14">
        <f>IF(ISNUMBER(L8),IF(OR(L$5=7,L$5=12),ROUND(L8*Instructores!$F$18,2),0),"n.a.")</f>
        <v>0</v>
      </c>
      <c r="M26" s="14">
        <f>IF(ISNUMBER(M8),IF(OR(M$5=7,M$5=12),ROUND(M8*Instructores!$F$18,2),0),"n.a.")</f>
        <v>0</v>
      </c>
      <c r="N26" s="14">
        <f>IF(ISNUMBER(N8),IF(OR(N$5=7,N$5=12),ROUND(N8*Instructores!$F$18,2),0),"n.a.")</f>
        <v>414</v>
      </c>
    </row>
    <row r="27" spans="1:14" ht="25.95" customHeight="1">
      <c r="A27" s="1"/>
      <c r="B27" s="1" t="s">
        <v>176</v>
      </c>
      <c r="C27" s="14">
        <f t="shared" ref="C27:N27" si="3">IF(ISNUMBER(C8),C40,"n.a.")</f>
        <v>2072</v>
      </c>
      <c r="D27" s="14">
        <f t="shared" si="3"/>
        <v>2072</v>
      </c>
      <c r="E27" s="14">
        <f t="shared" si="3"/>
        <v>2072</v>
      </c>
      <c r="F27" s="14">
        <f t="shared" si="3"/>
        <v>2072</v>
      </c>
      <c r="G27" s="14">
        <f t="shared" si="3"/>
        <v>2072</v>
      </c>
      <c r="H27" s="14">
        <f t="shared" si="3"/>
        <v>2072</v>
      </c>
      <c r="I27" s="14">
        <f t="shared" si="3"/>
        <v>2105.12</v>
      </c>
      <c r="J27" s="14">
        <f t="shared" si="3"/>
        <v>2105.12</v>
      </c>
      <c r="K27" s="14">
        <f t="shared" si="3"/>
        <v>2105.12</v>
      </c>
      <c r="L27" s="14">
        <f t="shared" si="3"/>
        <v>2105.12</v>
      </c>
      <c r="M27" s="14">
        <f t="shared" si="3"/>
        <v>2105.12</v>
      </c>
      <c r="N27" s="14">
        <f t="shared" si="3"/>
        <v>2138.2399999999998</v>
      </c>
    </row>
    <row r="28" spans="1:14" ht="25.95" customHeight="1">
      <c r="A28" s="1"/>
      <c r="B28" s="1" t="s">
        <v>134</v>
      </c>
      <c r="C28" s="14">
        <f t="shared" ref="C28:N28" si="4">IF(ISNUMBER(C8),ROUND(C27-C20,2),"n.a.")</f>
        <v>0</v>
      </c>
      <c r="D28" s="14">
        <f t="shared" si="4"/>
        <v>0</v>
      </c>
      <c r="E28" s="14">
        <f t="shared" si="4"/>
        <v>0</v>
      </c>
      <c r="F28" s="14">
        <f t="shared" si="4"/>
        <v>0</v>
      </c>
      <c r="G28" s="14">
        <f t="shared" si="4"/>
        <v>0</v>
      </c>
      <c r="H28" s="14">
        <f t="shared" si="4"/>
        <v>0</v>
      </c>
      <c r="I28" s="14">
        <f t="shared" si="4"/>
        <v>33.119999999999997</v>
      </c>
      <c r="J28" s="14">
        <f t="shared" si="4"/>
        <v>0</v>
      </c>
      <c r="K28" s="14">
        <f t="shared" si="4"/>
        <v>0</v>
      </c>
      <c r="L28" s="14">
        <f t="shared" si="4"/>
        <v>0</v>
      </c>
      <c r="M28" s="14">
        <f t="shared" si="4"/>
        <v>0</v>
      </c>
      <c r="N28" s="14">
        <f t="shared" si="4"/>
        <v>33.119999999999997</v>
      </c>
    </row>
    <row r="29" spans="1:14" ht="25.95" customHeight="1">
      <c r="A29" s="1"/>
      <c r="B29" s="31" t="s">
        <v>177</v>
      </c>
      <c r="C29" s="32">
        <f t="shared" ref="C29:N29" si="5">IF(ISNUMBER(C8),ROUND(SUM(C25,C28),2),"n.a.")</f>
        <v>172.67</v>
      </c>
      <c r="D29" s="32">
        <f t="shared" si="5"/>
        <v>172.67</v>
      </c>
      <c r="E29" s="32">
        <f t="shared" si="5"/>
        <v>172.67</v>
      </c>
      <c r="F29" s="32">
        <f t="shared" si="5"/>
        <v>172.67</v>
      </c>
      <c r="G29" s="32">
        <f t="shared" si="5"/>
        <v>172.67</v>
      </c>
      <c r="H29" s="32">
        <f t="shared" si="5"/>
        <v>172.67</v>
      </c>
      <c r="I29" s="32">
        <f t="shared" si="5"/>
        <v>205.79</v>
      </c>
      <c r="J29" s="32">
        <f t="shared" si="5"/>
        <v>172.66</v>
      </c>
      <c r="K29" s="32">
        <f t="shared" si="5"/>
        <v>172.66</v>
      </c>
      <c r="L29" s="32">
        <f t="shared" si="5"/>
        <v>172.66</v>
      </c>
      <c r="M29" s="32">
        <f t="shared" si="5"/>
        <v>172.66</v>
      </c>
      <c r="N29" s="32">
        <f t="shared" si="5"/>
        <v>205.79</v>
      </c>
    </row>
    <row r="30" spans="1:14" ht="25.95" customHeight="1">
      <c r="A30" s="1"/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28.05" customHeight="1">
      <c r="A31" s="1"/>
      <c r="B31" s="9" t="s">
        <v>178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25.95" customHeight="1">
      <c r="A32" s="1"/>
      <c r="B32" s="1" t="s">
        <v>179</v>
      </c>
      <c r="C32" s="14">
        <f t="shared" ref="C32:N32" si="6">IF(ISNUMBER(C8),SUM(C10,C26),"n.a.")</f>
        <v>64400</v>
      </c>
      <c r="D32" s="14">
        <f t="shared" si="6"/>
        <v>64400</v>
      </c>
      <c r="E32" s="14">
        <f t="shared" si="6"/>
        <v>64400</v>
      </c>
      <c r="F32" s="14">
        <f t="shared" si="6"/>
        <v>64400</v>
      </c>
      <c r="G32" s="14">
        <f t="shared" si="6"/>
        <v>64400</v>
      </c>
      <c r="H32" s="14">
        <f t="shared" si="6"/>
        <v>64400</v>
      </c>
      <c r="I32" s="14">
        <f t="shared" si="6"/>
        <v>64814</v>
      </c>
      <c r="J32" s="14">
        <f t="shared" si="6"/>
        <v>64814</v>
      </c>
      <c r="K32" s="14">
        <f t="shared" si="6"/>
        <v>64814</v>
      </c>
      <c r="L32" s="14">
        <f t="shared" si="6"/>
        <v>64814</v>
      </c>
      <c r="M32" s="14">
        <f t="shared" si="6"/>
        <v>64814</v>
      </c>
      <c r="N32" s="14">
        <f t="shared" si="6"/>
        <v>65228</v>
      </c>
    </row>
    <row r="33" spans="1:14" ht="25.95" customHeight="1">
      <c r="A33" s="1"/>
      <c r="B33" s="1" t="s">
        <v>180</v>
      </c>
      <c r="C33" s="14">
        <f t="shared" ref="C33:N33" si="7">IF(ISNUMBER(C8),MAX(0,C32-C11),"n.a.")</f>
        <v>25900</v>
      </c>
      <c r="D33" s="14">
        <f t="shared" si="7"/>
        <v>25900</v>
      </c>
      <c r="E33" s="14">
        <f t="shared" si="7"/>
        <v>25900</v>
      </c>
      <c r="F33" s="14">
        <f t="shared" si="7"/>
        <v>25900</v>
      </c>
      <c r="G33" s="14">
        <f t="shared" si="7"/>
        <v>25900</v>
      </c>
      <c r="H33" s="14">
        <f t="shared" si="7"/>
        <v>25900</v>
      </c>
      <c r="I33" s="14">
        <f t="shared" si="7"/>
        <v>26314</v>
      </c>
      <c r="J33" s="14">
        <f t="shared" si="7"/>
        <v>26314</v>
      </c>
      <c r="K33" s="14">
        <f t="shared" si="7"/>
        <v>26314</v>
      </c>
      <c r="L33" s="14">
        <f t="shared" si="7"/>
        <v>26314</v>
      </c>
      <c r="M33" s="14">
        <f t="shared" si="7"/>
        <v>26314</v>
      </c>
      <c r="N33" s="14">
        <f t="shared" si="7"/>
        <v>26728</v>
      </c>
    </row>
    <row r="34" spans="1:14" ht="25.95" customHeight="1">
      <c r="A34" s="1"/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5.95" customHeight="1">
      <c r="A35" s="1"/>
      <c r="B35" s="1" t="s">
        <v>167</v>
      </c>
      <c r="C35" s="14">
        <f>IF(ISNUMBER(C8),MAX(0,MIN(C33-0,Instructores!$G$34*Instructores!$F$10))*Instructores!$F$34,"n.a.")</f>
        <v>2072</v>
      </c>
      <c r="D35" s="14">
        <f>IF(ISNUMBER(D8),MAX(0,MIN(D33-0,Instructores!$G$34*Instructores!$F$10))*Instructores!$F$34,"n.a.")</f>
        <v>2072</v>
      </c>
      <c r="E35" s="14">
        <f>IF(ISNUMBER(E8),MAX(0,MIN(E33-0,Instructores!$G$34*Instructores!$F$10))*Instructores!$F$34,"n.a.")</f>
        <v>2072</v>
      </c>
      <c r="F35" s="14">
        <f>IF(ISNUMBER(F8),MAX(0,MIN(F33-0,Instructores!$G$34*Instructores!$F$10))*Instructores!$F$34,"n.a.")</f>
        <v>2072</v>
      </c>
      <c r="G35" s="14">
        <f>IF(ISNUMBER(G8),MAX(0,MIN(G33-0,Instructores!$G$34*Instructores!$F$10))*Instructores!$F$34,"n.a.")</f>
        <v>2072</v>
      </c>
      <c r="H35" s="14">
        <f>IF(ISNUMBER(H8),MAX(0,MIN(H33-0,Instructores!$G$34*Instructores!$F$10))*Instructores!$F$34,"n.a.")</f>
        <v>2072</v>
      </c>
      <c r="I35" s="14">
        <f>IF(ISNUMBER(I8),MAX(0,MIN(I33-0,Instructores!$G$34*Instructores!$F$10))*Instructores!$F$34,"n.a.")</f>
        <v>2105.12</v>
      </c>
      <c r="J35" s="14">
        <f>IF(ISNUMBER(J8),MAX(0,MIN(J33-0,Instructores!$G$34*Instructores!$F$10))*Instructores!$F$34,"n.a.")</f>
        <v>2105.12</v>
      </c>
      <c r="K35" s="14">
        <f>IF(ISNUMBER(K8),MAX(0,MIN(K33-0,Instructores!$G$34*Instructores!$F$10))*Instructores!$F$34,"n.a.")</f>
        <v>2105.12</v>
      </c>
      <c r="L35" s="14">
        <f>IF(ISNUMBER(L8),MAX(0,MIN(L33-0,Instructores!$G$34*Instructores!$F$10))*Instructores!$F$34,"n.a.")</f>
        <v>2105.12</v>
      </c>
      <c r="M35" s="14">
        <f>IF(ISNUMBER(M8),MAX(0,MIN(M33-0,Instructores!$G$34*Instructores!$F$10))*Instructores!$F$34,"n.a.")</f>
        <v>2105.12</v>
      </c>
      <c r="N35" s="14">
        <f>IF(ISNUMBER(N8),MAX(0,MIN(N33-0,Instructores!$G$34*Instructores!$F$10))*Instructores!$F$34,"n.a.")</f>
        <v>2138.2400000000002</v>
      </c>
    </row>
    <row r="36" spans="1:14" ht="25.95" customHeight="1">
      <c r="A36" s="1"/>
      <c r="B36" s="1" t="s">
        <v>168</v>
      </c>
      <c r="C36" s="14">
        <f>IF(ISNUMBER(C8),MAX(0,MIN(C33-SUM(Instructores!$G$34:$G$34)*Instructores!$F$10,Instructores!$G$35*Instructores!$F$10))*Instructores!$F$35,"n.a.")</f>
        <v>0</v>
      </c>
      <c r="D36" s="14">
        <f>IF(ISNUMBER(D8),MAX(0,MIN(D33-SUM(Instructores!$G$34:$G$34)*Instructores!$F$10,Instructores!$G$35*Instructores!$F$10))*Instructores!$F$35,"n.a.")</f>
        <v>0</v>
      </c>
      <c r="E36" s="14">
        <f>IF(ISNUMBER(E8),MAX(0,MIN(E33-SUM(Instructores!$G$34:$G$34)*Instructores!$F$10,Instructores!$G$35*Instructores!$F$10))*Instructores!$F$35,"n.a.")</f>
        <v>0</v>
      </c>
      <c r="F36" s="14">
        <f>IF(ISNUMBER(F8),MAX(0,MIN(F33-SUM(Instructores!$G$34:$G$34)*Instructores!$F$10,Instructores!$G$35*Instructores!$F$10))*Instructores!$F$35,"n.a.")</f>
        <v>0</v>
      </c>
      <c r="G36" s="14">
        <f>IF(ISNUMBER(G8),MAX(0,MIN(G33-SUM(Instructores!$G$34:$G$34)*Instructores!$F$10,Instructores!$G$35*Instructores!$F$10))*Instructores!$F$35,"n.a.")</f>
        <v>0</v>
      </c>
      <c r="H36" s="14">
        <f>IF(ISNUMBER(H8),MAX(0,MIN(H33-SUM(Instructores!$G$34:$G$34)*Instructores!$F$10,Instructores!$G$35*Instructores!$F$10))*Instructores!$F$35,"n.a.")</f>
        <v>0</v>
      </c>
      <c r="I36" s="14">
        <f>IF(ISNUMBER(I8),MAX(0,MIN(I33-SUM(Instructores!$G$34:$G$34)*Instructores!$F$10,Instructores!$G$35*Instructores!$F$10))*Instructores!$F$35,"n.a.")</f>
        <v>0</v>
      </c>
      <c r="J36" s="14">
        <f>IF(ISNUMBER(J8),MAX(0,MIN(J33-SUM(Instructores!$G$34:$G$34)*Instructores!$F$10,Instructores!$G$35*Instructores!$F$10))*Instructores!$F$35,"n.a.")</f>
        <v>0</v>
      </c>
      <c r="K36" s="14">
        <f>IF(ISNUMBER(K8),MAX(0,MIN(K33-SUM(Instructores!$G$34:$G$34)*Instructores!$F$10,Instructores!$G$35*Instructores!$F$10))*Instructores!$F$35,"n.a.")</f>
        <v>0</v>
      </c>
      <c r="L36" s="14">
        <f>IF(ISNUMBER(L8),MAX(0,MIN(L33-SUM(Instructores!$G$34:$G$34)*Instructores!$F$10,Instructores!$G$35*Instructores!$F$10))*Instructores!$F$35,"n.a.")</f>
        <v>0</v>
      </c>
      <c r="M36" s="14">
        <f>IF(ISNUMBER(M8),MAX(0,MIN(M33-SUM(Instructores!$G$34:$G$34)*Instructores!$F$10,Instructores!$G$35*Instructores!$F$10))*Instructores!$F$35,"n.a.")</f>
        <v>0</v>
      </c>
      <c r="N36" s="14">
        <f>IF(ISNUMBER(N8),MAX(0,MIN(N33-SUM(Instructores!$G$34:$G$34)*Instructores!$F$10,Instructores!$G$35*Instructores!$F$10))*Instructores!$F$35,"n.a.")</f>
        <v>0</v>
      </c>
    </row>
    <row r="37" spans="1:14" ht="25.95" customHeight="1">
      <c r="A37" s="1"/>
      <c r="B37" s="1" t="s">
        <v>169</v>
      </c>
      <c r="C37" s="14">
        <f>IF(ISNUMBER(C8),MAX(0,MIN(C33-SUM(Instructores!$G$34:$G$35)*Instructores!$F$10,Instructores!$G$36*Instructores!$F$10))*Instructores!$F$36,"n.a.")</f>
        <v>0</v>
      </c>
      <c r="D37" s="14">
        <f>IF(ISNUMBER(D8),MAX(0,MIN(D33-SUM(Instructores!$G$34:$G$35)*Instructores!$F$10,Instructores!$G$36*Instructores!$F$10))*Instructores!$F$36,"n.a.")</f>
        <v>0</v>
      </c>
      <c r="E37" s="14">
        <f>IF(ISNUMBER(E8),MAX(0,MIN(E33-SUM(Instructores!$G$34:$G$35)*Instructores!$F$10,Instructores!$G$36*Instructores!$F$10))*Instructores!$F$36,"n.a.")</f>
        <v>0</v>
      </c>
      <c r="F37" s="14">
        <f>IF(ISNUMBER(F8),MAX(0,MIN(F33-SUM(Instructores!$G$34:$G$35)*Instructores!$F$10,Instructores!$G$36*Instructores!$F$10))*Instructores!$F$36,"n.a.")</f>
        <v>0</v>
      </c>
      <c r="G37" s="14">
        <f>IF(ISNUMBER(G8),MAX(0,MIN(G33-SUM(Instructores!$G$34:$G$35)*Instructores!$F$10,Instructores!$G$36*Instructores!$F$10))*Instructores!$F$36,"n.a.")</f>
        <v>0</v>
      </c>
      <c r="H37" s="14">
        <f>IF(ISNUMBER(H8),MAX(0,MIN(H33-SUM(Instructores!$G$34:$G$35)*Instructores!$F$10,Instructores!$G$36*Instructores!$F$10))*Instructores!$F$36,"n.a.")</f>
        <v>0</v>
      </c>
      <c r="I37" s="14">
        <f>IF(ISNUMBER(I8),MAX(0,MIN(I33-SUM(Instructores!$G$34:$G$35)*Instructores!$F$10,Instructores!$G$36*Instructores!$F$10))*Instructores!$F$36,"n.a.")</f>
        <v>0</v>
      </c>
      <c r="J37" s="14">
        <f>IF(ISNUMBER(J8),MAX(0,MIN(J33-SUM(Instructores!$G$34:$G$35)*Instructores!$F$10,Instructores!$G$36*Instructores!$F$10))*Instructores!$F$36,"n.a.")</f>
        <v>0</v>
      </c>
      <c r="K37" s="14">
        <f>IF(ISNUMBER(K8),MAX(0,MIN(K33-SUM(Instructores!$G$34:$G$35)*Instructores!$F$10,Instructores!$G$36*Instructores!$F$10))*Instructores!$F$36,"n.a.")</f>
        <v>0</v>
      </c>
      <c r="L37" s="14">
        <f>IF(ISNUMBER(L8),MAX(0,MIN(L33-SUM(Instructores!$G$34:$G$35)*Instructores!$F$10,Instructores!$G$36*Instructores!$F$10))*Instructores!$F$36,"n.a.")</f>
        <v>0</v>
      </c>
      <c r="M37" s="14">
        <f>IF(ISNUMBER(M8),MAX(0,MIN(M33-SUM(Instructores!$G$34:$G$35)*Instructores!$F$10,Instructores!$G$36*Instructores!$F$10))*Instructores!$F$36,"n.a.")</f>
        <v>0</v>
      </c>
      <c r="N37" s="14">
        <f>IF(ISNUMBER(N8),MAX(0,MIN(N33-SUM(Instructores!$G$34:$G$35)*Instructores!$F$10,Instructores!$G$36*Instructores!$F$10))*Instructores!$F$36,"n.a.")</f>
        <v>0</v>
      </c>
    </row>
    <row r="38" spans="1:14" ht="25.95" customHeight="1">
      <c r="A38" s="1"/>
      <c r="B38" s="1" t="s">
        <v>170</v>
      </c>
      <c r="C38" s="14">
        <f>IF(ISNUMBER(C8),MAX(0,MIN(C33-SUM(Instructores!$G$34:$G$36)*Instructores!$F$10,Instructores!$G$37*Instructores!$F$10))*Instructores!$F$37,"n.a.")</f>
        <v>0</v>
      </c>
      <c r="D38" s="14">
        <f>IF(ISNUMBER(D8),MAX(0,MIN(D33-SUM(Instructores!$G$34:$G$36)*Instructores!$F$10,Instructores!$G$37*Instructores!$F$10))*Instructores!$F$37,"n.a.")</f>
        <v>0</v>
      </c>
      <c r="E38" s="14">
        <f>IF(ISNUMBER(E8),MAX(0,MIN(E33-SUM(Instructores!$G$34:$G$36)*Instructores!$F$10,Instructores!$G$37*Instructores!$F$10))*Instructores!$F$37,"n.a.")</f>
        <v>0</v>
      </c>
      <c r="F38" s="14">
        <f>IF(ISNUMBER(F8),MAX(0,MIN(F33-SUM(Instructores!$G$34:$G$36)*Instructores!$F$10,Instructores!$G$37*Instructores!$F$10))*Instructores!$F$37,"n.a.")</f>
        <v>0</v>
      </c>
      <c r="G38" s="14">
        <f>IF(ISNUMBER(G8),MAX(0,MIN(G33-SUM(Instructores!$G$34:$G$36)*Instructores!$F$10,Instructores!$G$37*Instructores!$F$10))*Instructores!$F$37,"n.a.")</f>
        <v>0</v>
      </c>
      <c r="H38" s="14">
        <f>IF(ISNUMBER(H8),MAX(0,MIN(H33-SUM(Instructores!$G$34:$G$36)*Instructores!$F$10,Instructores!$G$37*Instructores!$F$10))*Instructores!$F$37,"n.a.")</f>
        <v>0</v>
      </c>
      <c r="I38" s="14">
        <f>IF(ISNUMBER(I8),MAX(0,MIN(I33-SUM(Instructores!$G$34:$G$36)*Instructores!$F$10,Instructores!$G$37*Instructores!$F$10))*Instructores!$F$37,"n.a.")</f>
        <v>0</v>
      </c>
      <c r="J38" s="14">
        <f>IF(ISNUMBER(J8),MAX(0,MIN(J33-SUM(Instructores!$G$34:$G$36)*Instructores!$F$10,Instructores!$G$37*Instructores!$F$10))*Instructores!$F$37,"n.a.")</f>
        <v>0</v>
      </c>
      <c r="K38" s="14">
        <f>IF(ISNUMBER(K8),MAX(0,MIN(K33-SUM(Instructores!$G$34:$G$36)*Instructores!$F$10,Instructores!$G$37*Instructores!$F$10))*Instructores!$F$37,"n.a.")</f>
        <v>0</v>
      </c>
      <c r="L38" s="14">
        <f>IF(ISNUMBER(L8),MAX(0,MIN(L33-SUM(Instructores!$G$34:$G$36)*Instructores!$F$10,Instructores!$G$37*Instructores!$F$10))*Instructores!$F$37,"n.a.")</f>
        <v>0</v>
      </c>
      <c r="M38" s="14">
        <f>IF(ISNUMBER(M8),MAX(0,MIN(M33-SUM(Instructores!$G$34:$G$36)*Instructores!$F$10,Instructores!$G$37*Instructores!$F$10))*Instructores!$F$37,"n.a.")</f>
        <v>0</v>
      </c>
      <c r="N38" s="14">
        <f>IF(ISNUMBER(N8),MAX(0,MIN(N33-SUM(Instructores!$G$34:$G$36)*Instructores!$F$10,Instructores!$G$37*Instructores!$F$10))*Instructores!$F$37,"n.a.")</f>
        <v>0</v>
      </c>
    </row>
    <row r="39" spans="1:14" ht="25.95" customHeight="1">
      <c r="A39" s="1"/>
      <c r="B39" s="1" t="s">
        <v>171</v>
      </c>
      <c r="C39" s="14">
        <f>IF(ISNUMBER(C8),MAX(0,C33-SUM(Instructores!$G$34:$G$37)*Instructores!$F$10)*Instructores!$F$38,"n.a.")</f>
        <v>0</v>
      </c>
      <c r="D39" s="14">
        <f>IF(ISNUMBER(D8),MAX(0,D33-SUM(Instructores!$G$34:$G$37)*Instructores!$F$10)*Instructores!$F$38,"n.a.")</f>
        <v>0</v>
      </c>
      <c r="E39" s="14">
        <f>IF(ISNUMBER(E8),MAX(0,E33-SUM(Instructores!$G$34:$G$37)*Instructores!$F$10)*Instructores!$F$38,"n.a.")</f>
        <v>0</v>
      </c>
      <c r="F39" s="14">
        <f>IF(ISNUMBER(F8),MAX(0,F33-SUM(Instructores!$G$34:$G$37)*Instructores!$F$10)*Instructores!$F$38,"n.a.")</f>
        <v>0</v>
      </c>
      <c r="G39" s="14">
        <f>IF(ISNUMBER(G8),MAX(0,G33-SUM(Instructores!$G$34:$G$37)*Instructores!$F$10)*Instructores!$F$38,"n.a.")</f>
        <v>0</v>
      </c>
      <c r="H39" s="14">
        <f>IF(ISNUMBER(H8),MAX(0,H33-SUM(Instructores!$G$34:$G$37)*Instructores!$F$10)*Instructores!$F$38,"n.a.")</f>
        <v>0</v>
      </c>
      <c r="I39" s="14">
        <f>IF(ISNUMBER(I8),MAX(0,I33-SUM(Instructores!$G$34:$G$37)*Instructores!$F$10)*Instructores!$F$38,"n.a.")</f>
        <v>0</v>
      </c>
      <c r="J39" s="14">
        <f>IF(ISNUMBER(J8),MAX(0,J33-SUM(Instructores!$G$34:$G$37)*Instructores!$F$10)*Instructores!$F$38,"n.a.")</f>
        <v>0</v>
      </c>
      <c r="K39" s="14">
        <f>IF(ISNUMBER(K8),MAX(0,K33-SUM(Instructores!$G$34:$G$37)*Instructores!$F$10)*Instructores!$F$38,"n.a.")</f>
        <v>0</v>
      </c>
      <c r="L39" s="14">
        <f>IF(ISNUMBER(L8),MAX(0,L33-SUM(Instructores!$G$34:$G$37)*Instructores!$F$10)*Instructores!$F$38,"n.a.")</f>
        <v>0</v>
      </c>
      <c r="M39" s="14">
        <f>IF(ISNUMBER(M8),MAX(0,M33-SUM(Instructores!$G$34:$G$37)*Instructores!$F$10)*Instructores!$F$38,"n.a.")</f>
        <v>0</v>
      </c>
      <c r="N39" s="14">
        <f>IF(ISNUMBER(N8),MAX(0,N33-SUM(Instructores!$G$34:$G$37)*Instructores!$F$10)*Instructores!$F$38,"n.a.")</f>
        <v>0</v>
      </c>
    </row>
    <row r="40" spans="1:14" ht="25.95" customHeight="1">
      <c r="A40" s="1"/>
      <c r="B40" s="23" t="s">
        <v>181</v>
      </c>
      <c r="C40" s="24">
        <f t="shared" ref="C40:N40" si="8">IF(ISNUMBER(C8),ROUND(SUM(C35:C39),2),"n.a.")</f>
        <v>2072</v>
      </c>
      <c r="D40" s="24">
        <f t="shared" si="8"/>
        <v>2072</v>
      </c>
      <c r="E40" s="24">
        <f t="shared" si="8"/>
        <v>2072</v>
      </c>
      <c r="F40" s="24">
        <f t="shared" si="8"/>
        <v>2072</v>
      </c>
      <c r="G40" s="24">
        <f t="shared" si="8"/>
        <v>2072</v>
      </c>
      <c r="H40" s="24">
        <f t="shared" si="8"/>
        <v>2072</v>
      </c>
      <c r="I40" s="24">
        <f t="shared" si="8"/>
        <v>2105.12</v>
      </c>
      <c r="J40" s="24">
        <f t="shared" si="8"/>
        <v>2105.12</v>
      </c>
      <c r="K40" s="24">
        <f t="shared" si="8"/>
        <v>2105.12</v>
      </c>
      <c r="L40" s="24">
        <f t="shared" si="8"/>
        <v>2105.12</v>
      </c>
      <c r="M40" s="24">
        <f t="shared" si="8"/>
        <v>2105.12</v>
      </c>
      <c r="N40" s="24">
        <f t="shared" si="8"/>
        <v>2138.2399999999998</v>
      </c>
    </row>
    <row r="41" spans="1:14" ht="25.95" customHeight="1">
      <c r="A41" s="1"/>
      <c r="B41" s="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5.95" customHeight="1">
      <c r="A42" s="1"/>
      <c r="B42" s="6" t="s">
        <v>182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5.95" customHeight="1">
      <c r="A43" s="1"/>
      <c r="B43" s="6" t="s">
        <v>183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5.95" customHeight="1">
      <c r="A44" s="1"/>
      <c r="B44" s="6" t="s">
        <v>184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</sheetData>
  <conditionalFormatting sqref="K4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CTS</vt:lpstr>
      <vt:lpstr>Gratificacion</vt:lpstr>
      <vt:lpstr>Instructores</vt:lpstr>
      <vt:lpstr>Quinta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2026-10-28T01:26:29Z</dcterms:modified>
</cp:coreProperties>
</file>